
<file path=[Content_Types].xml><?xml version="1.0" encoding="utf-8"?>
<Types xmlns="http://schemas.openxmlformats.org/package/2006/content-type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factortwoenergy.sharepoint.com/sites/BusinessDevelopment/Shared Documents/CCS Market/CCS Projects Europe/"/>
    </mc:Choice>
  </mc:AlternateContent>
  <xr:revisionPtr revIDLastSave="110" documentId="8_{4BC6A3C4-C680-48F4-A6A0-13772087CB13}" xr6:coauthVersionLast="47" xr6:coauthVersionMax="47" xr10:uidLastSave="{34F6C223-9881-4CB7-84DD-71BDFC0875D2}"/>
  <bookViews>
    <workbookView xWindow="-98" yWindow="-98" windowWidth="21795" windowHeight="12975" tabRatio="500" xr2:uid="{00000000-000D-0000-FFFF-FFFF00000000}"/>
  </bookViews>
  <sheets>
    <sheet name="CCS Projects Europe" sheetId="1" r:id="rId1"/>
  </sheets>
  <definedNames>
    <definedName name="_xlnm._FilterDatabase" localSheetId="0" hidden="1">'CCS Projects Europe'!$A$1:$AS$222</definedName>
    <definedName name="_FilterDatenbank" localSheetId="0" hidden="1">'CCS Projects Europe'!$A$1:$AS$222</definedName>
  </definedNames>
  <calcPr calcId="0"/>
  <extLst>
    <ext xmlns:loext="http://schemas.libreoffice.org/" uri="{7626C862-2A13-11E5-B345-FEFF819CDC9F}">
      <loext:extCalcPr stringRefSyntax="ExcelA1"/>
    </ext>
  </extLst>
</workbook>
</file>

<file path=xl/sharedStrings.xml><?xml version="1.0" encoding="utf-8"?>
<sst xmlns="http://schemas.openxmlformats.org/spreadsheetml/2006/main" count="3363" uniqueCount="1476">
  <si>
    <t>project_id</t>
  </si>
  <si>
    <t>Project Name</t>
  </si>
  <si>
    <t>Entities</t>
  </si>
  <si>
    <t>Capture or Storage Details</t>
  </si>
  <si>
    <t>Country</t>
  </si>
  <si>
    <t>Location</t>
  </si>
  <si>
    <t>State</t>
  </si>
  <si>
    <t>Sector Classification</t>
  </si>
  <si>
    <t>Sector Description</t>
  </si>
  <si>
    <t>Subsector Classification</t>
  </si>
  <si>
    <t>Subsector Description</t>
  </si>
  <si>
    <t>Approx. Latitude</t>
  </si>
  <si>
    <t>Approx. Longitude</t>
  </si>
  <si>
    <t>Visualized Capacity (Metric Tons Per Annum)</t>
  </si>
  <si>
    <t>Capacity (Metric Tons Per Annum)</t>
  </si>
  <si>
    <t>Storage Classification</t>
  </si>
  <si>
    <t>Storage Description</t>
  </si>
  <si>
    <t>Year Announced</t>
  </si>
  <si>
    <t>Year Operational</t>
  </si>
  <si>
    <t>Status</t>
  </si>
  <si>
    <t>Notes</t>
  </si>
  <si>
    <t>Month Announced</t>
  </si>
  <si>
    <t>Reference</t>
  </si>
  <si>
    <t>Capture Lead Company</t>
  </si>
  <si>
    <t>Capture Lead Contact Person</t>
  </si>
  <si>
    <t>Capture Lead Email</t>
  </si>
  <si>
    <t>Storage Lead Company</t>
  </si>
  <si>
    <t>Storage Lead Contact Person</t>
  </si>
  <si>
    <t>Storage Lead Email</t>
  </si>
  <si>
    <t>Transport Operator</t>
  </si>
  <si>
    <t>Storage Capacity (Mt total)</t>
  </si>
  <si>
    <t>Funding Source</t>
  </si>
  <si>
    <t>Funding Amount (EUR M)</t>
  </si>
  <si>
    <t>EU Funding Program</t>
  </si>
  <si>
    <t>FID Date</t>
  </si>
  <si>
    <t>Contact Status</t>
  </si>
  <si>
    <t>Last Contact Date</t>
  </si>
  <si>
    <t>Contact Notes</t>
  </si>
  <si>
    <t>Internal Priority</t>
  </si>
  <si>
    <t>Relevance for F2E</t>
  </si>
  <si>
    <t>Project Website</t>
  </si>
  <si>
    <t>SharePoint Folder Link</t>
  </si>
  <si>
    <t>Internal Notes / Assessment</t>
  </si>
  <si>
    <t>Last Updated (F2E)</t>
  </si>
  <si>
    <t>Updated By</t>
  </si>
  <si>
    <t>FR-001</t>
  </si>
  <si>
    <t>lowCAL</t>
  </si>
  <si>
    <t xml:space="preserve">Aluminium Dunkerque Sas, Fives, Trimet, Rio Tinto (consortium)
</t>
  </si>
  <si>
    <t>Capture form aluminium production. The first stage (2024-2027) involves testing and prototyping carbon capture technology, while the second stage (starting in 2028) focuses on scaling up its industrial deployment. Part of Dunkirk Hub.</t>
  </si>
  <si>
    <t>France</t>
  </si>
  <si>
    <t>Dunkirk, France</t>
  </si>
  <si>
    <t>Industrial</t>
  </si>
  <si>
    <t>Aluminium</t>
  </si>
  <si>
    <t>Unknown</t>
  </si>
  <si>
    <t>In Development</t>
  </si>
  <si>
    <t>Included in France 2030 Investment Plan.</t>
  </si>
  <si>
    <t>October</t>
  </si>
  <si>
    <t>https://www.fivesgroup.com/newspress/detail-view/first-co2-capture-solutions-for-the-aluminium-industry</t>
  </si>
  <si>
    <t>HR-001</t>
  </si>
  <si>
    <t>Sisak biorefinery</t>
  </si>
  <si>
    <t>INA, AXENS</t>
  </si>
  <si>
    <t>Croatia</t>
  </si>
  <si>
    <t>Sisak, Croatia</t>
  </si>
  <si>
    <t>Biofuels</t>
  </si>
  <si>
    <t>Bioethanol</t>
  </si>
  <si>
    <t>Depleted Oil or Gas Reservoir</t>
  </si>
  <si>
    <t>Depleted Oil Reservoir</t>
  </si>
  <si>
    <t>The project has received funding from the Croatian Government as part of the Recovery and Resilience Facility</t>
  </si>
  <si>
    <t>http://www.ina.hr/biorafinerija</t>
  </si>
  <si>
    <t>HU-001</t>
  </si>
  <si>
    <t>Danube Carbon Removals</t>
  </si>
  <si>
    <t>Pannonia Bio, MOL</t>
  </si>
  <si>
    <t>Capture at bioethanol production facility for onshore storage in nearby aquifer</t>
  </si>
  <si>
    <t>Hungary</t>
  </si>
  <si>
    <t>Dunaföldvár, Hungary</t>
  </si>
  <si>
    <t>Dedicated Saline Storage</t>
  </si>
  <si>
    <t>In early development/concept phase</t>
  </si>
  <si>
    <t>https://hungarytoday.hu/hungarian-carbon-project-could-lead-the-way-in-europe/</t>
  </si>
  <si>
    <t>DK-001</t>
  </si>
  <si>
    <t>Asnæs Power Station (Ørsted Kalundborg Hub)</t>
  </si>
  <si>
    <t>Ørsted, Microsoft, Aker Carbon Capture, and Northern Lights</t>
  </si>
  <si>
    <t>Carbon capture at Asnæs Combined heat Power Station, also function as a CO2 hub, handling and shipping biogenic carbon from both Avedøre and Asnæs combined heat and power stations to Northern Lights.</t>
  </si>
  <si>
    <t>Denmark</t>
  </si>
  <si>
    <t>Kalundborg, Denmark</t>
  </si>
  <si>
    <t>Heat and Power</t>
  </si>
  <si>
    <t>Biomass</t>
  </si>
  <si>
    <t>Under Construction</t>
  </si>
  <si>
    <t>https://orsted.com/en/media/newsroom/news/2023/05/20230515676011</t>
  </si>
  <si>
    <t>DK-002</t>
  </si>
  <si>
    <t>Avedøre Power Station (Ørsted Kalundborg Hub)</t>
  </si>
  <si>
    <t>CO2 captured at a 100 MW agricultural waste facility for storage in Northern Lights. CO2 will initially be transported by lorry to Asnæs Power Station until a shared pipeline infrastructure across Zealand has been established.</t>
  </si>
  <si>
    <t>Copenhagen, Denmark</t>
  </si>
  <si>
    <t>Is the next phase of the Green Fuels for Denmark Power-to-X initiative</t>
  </si>
  <si>
    <t>DK-003</t>
  </si>
  <si>
    <t>Fjernvarme Fyn CCS</t>
  </si>
  <si>
    <t>Fjernvarme Fyn A/S</t>
  </si>
  <si>
    <t>Capture at Odense CHP plant with district heating integration</t>
  </si>
  <si>
    <t>Odense, Denmark</t>
  </si>
  <si>
    <t>Planned</t>
  </si>
  <si>
    <t>Pre-qualified NECCS awards</t>
  </si>
  <si>
    <t>District Heating Fyn wants to capture CO2: Here you can find more information - District Heating Fyn</t>
  </si>
  <si>
    <t>DK-004</t>
  </si>
  <si>
    <t>HOFOR Amagerværket CCS</t>
  </si>
  <si>
    <t>HOFOR</t>
  </si>
  <si>
    <t>C4. CCS at Amagerværket biomass CHP facility</t>
  </si>
  <si>
    <t>Copenhagen , Denmark</t>
  </si>
  <si>
    <t>negative emissions in the power/heat sector.</t>
  </si>
  <si>
    <t>December</t>
  </si>
  <si>
    <t>CO₂ capture at Amager Power Station - HOFOR</t>
  </si>
  <si>
    <t>NL-001</t>
  </si>
  <si>
    <t>RWE Amer Power Plant</t>
  </si>
  <si>
    <t>RWE</t>
  </si>
  <si>
    <t>Capture from biomass power generation</t>
  </si>
  <si>
    <t>Netherlands</t>
  </si>
  <si>
    <t>Amer, Netherlands</t>
  </si>
  <si>
    <t>https://benelux.rwe.com/en/press/2022-12-13-rwe-launches-project-for-large-scale-capture-and-storage-of-co/</t>
  </si>
  <si>
    <t>NL-002</t>
  </si>
  <si>
    <t>RWE Eemshaven Power Plant</t>
  </si>
  <si>
    <t>Eemshaven, Netherlands</t>
  </si>
  <si>
    <t>*PCI candidate</t>
  </si>
  <si>
    <t>SE-001</t>
  </si>
  <si>
    <t xml:space="preserve">BECCS @ STHLM </t>
  </si>
  <si>
    <t xml:space="preserve">Stockholm Exergi </t>
  </si>
  <si>
    <t>BECCS generating heat and power</t>
  </si>
  <si>
    <t>Sweden</t>
  </si>
  <si>
    <t>Stockholm, Sweden</t>
  </si>
  <si>
    <t>Selected by EU Innovation Fund</t>
  </si>
  <si>
    <t>https://www.stockholmexergi.se/minusutslapp/beccs/</t>
  </si>
  <si>
    <t>SE-002</t>
  </si>
  <si>
    <t>Växjö Energi CHP</t>
  </si>
  <si>
    <t>Växjö Energi, Lund University</t>
  </si>
  <si>
    <t xml:space="preserve">Capture from CHP facility, co2 to be transported via pipeline to depleted gas fields. </t>
  </si>
  <si>
    <t>Växjö, Sweden</t>
  </si>
  <si>
    <t>Depleted Gas Field</t>
  </si>
  <si>
    <t>Together for negative emissions</t>
  </si>
  <si>
    <t>SE-003</t>
  </si>
  <si>
    <t>Hedensbyn CCS</t>
  </si>
  <si>
    <t>Skellefteå Kraft</t>
  </si>
  <si>
    <t>The project aims to capture biogenic CO2 from a CHP plant, transport it to a coastal terminal, and then ship it for permanent geological storage</t>
  </si>
  <si>
    <t>Hedensbyn, Sweden</t>
  </si>
  <si>
    <t>https://www.norran.se/english/skelleftea/artikel/game-changer-skelleftea-krafts-carbon-capture-vision/jo2e728l</t>
  </si>
  <si>
    <t>GB-001</t>
  </si>
  <si>
    <t>Lynemouth Power BECCS</t>
  </si>
  <si>
    <t>Lynemouth Power Ltd.</t>
  </si>
  <si>
    <t>UK</t>
  </si>
  <si>
    <t>GB-002</t>
  </si>
  <si>
    <t>Ince Bio Energy (InBECCS)</t>
  </si>
  <si>
    <t>Evero</t>
  </si>
  <si>
    <t>BECCS at Ince bioenergy facility; integration with HyNet</t>
  </si>
  <si>
    <t>Depleted gas reservoir</t>
  </si>
  <si>
    <t>https://envirotecmagazine.com/2025/08/06/uks-first-commercial-scale-beccs-project-gets-green-light/</t>
  </si>
  <si>
    <t>BE-001</t>
  </si>
  <si>
    <t>Anthemis</t>
  </si>
  <si>
    <t>Heidelberg Materials</t>
  </si>
  <si>
    <t>Capture from cement facility, using Oxyfuel and Amine capture technologies in a second-generation set-up. Aiming to capture 97% of the plants emissions. MoU signed with Fluxys Belgium to create a CO2 value chain. Partner in the EU2NSEA - EQUINOR</t>
  </si>
  <si>
    <t>Belgium</t>
  </si>
  <si>
    <t>Antoing, Belgium</t>
  </si>
  <si>
    <t>Cement</t>
  </si>
  <si>
    <t>Uknown</t>
  </si>
  <si>
    <t>IF24Call - Invited to grant agreement preparation</t>
  </si>
  <si>
    <t>January</t>
  </si>
  <si>
    <t>https://www.heidelbergmaterials.com/en/pr-2023-01-10</t>
  </si>
  <si>
    <t>BE-002</t>
  </si>
  <si>
    <t>GO4ZERO</t>
  </si>
  <si>
    <t xml:space="preserve">Holcim (Belgique) SA, Air Liquide </t>
  </si>
  <si>
    <t>CO2 capture on Obourg clinker plant using novel flue gas recirculation &amp; concentration-based concept paired with a full CCS solution, aiming to deliver negative emissions clinker. Captured CO2 will then be transported via Fluxys’ network to the Antwerp@C CO2 Export Hub where it will be liquified and shipped for storage under the North Sea.</t>
  </si>
  <si>
    <t>Obourg, Belgium</t>
  </si>
  <si>
    <t>Selected for Grant Agreement Preparation by the EU Innovation Fund *3rd Round</t>
  </si>
  <si>
    <t>May</t>
  </si>
  <si>
    <t>https://www.holcim.be/nl/go4zero-naar-een-koolstofvrije-cementproductie</t>
  </si>
  <si>
    <t>BE-003</t>
  </si>
  <si>
    <t>GLOBE (Lhoist Marche-les-Dames CCS)</t>
  </si>
  <si>
    <t>Lhoist</t>
  </si>
  <si>
    <t>CCS project for dolime/cement production; post-combustion capture integrated in kiln, CO₂ to Fluxys backbone for export/storage.</t>
  </si>
  <si>
    <t>Marche-les-Dames (Namur)</t>
  </si>
  <si>
    <t>Lime</t>
  </si>
  <si>
    <t>Unavailable</t>
  </si>
  <si>
    <t>Oxyfuel kiln (Maerz EcoKiln®) with &gt;90% CO₂ exhaust concentration; Phase 2 will add CCS (capture, transport, storage), provider not yet disclosed. €250m investment; first lime CCS in Belgium</t>
  </si>
  <si>
    <t>Lhoist Project GLOBE</t>
  </si>
  <si>
    <t>BG-001</t>
  </si>
  <si>
    <t>Anrav</t>
  </si>
  <si>
    <t>Devnya Cement, Petroceltic Bulgaria</t>
  </si>
  <si>
    <t>Capture from cement plant and offshore storage in the Black Sea</t>
  </si>
  <si>
    <t>Bulgaria</t>
  </si>
  <si>
    <t>Depleted Gas Reservoir</t>
  </si>
  <si>
    <t>https://ec.europa.eu/clima/system/files/2022-07/LSC2_List_of_pre-selected_projects_6.pdf</t>
  </si>
  <si>
    <t>BG-002</t>
  </si>
  <si>
    <t>Beli Net Zero</t>
  </si>
  <si>
    <t>Holcim</t>
  </si>
  <si>
    <t>First-Of-Its-Kind, Fully Integrated Co2 Capture, Transportation And Onshore Storage Value Chain, Starting From Beli Izvor Cement Plant In Bulgaria</t>
  </si>
  <si>
    <t>The whole value chain for the capture, transport and onshore storage of CO2 in Eastern Europe and the development of onshore storage for CO2 in saline aquifers in the North-West Bulgaria in a proximity of ~10 km from the Beli Izvor cement plant.</t>
  </si>
  <si>
    <t>Unlocking private capital for European industries</t>
  </si>
  <si>
    <t>HR-002</t>
  </si>
  <si>
    <t>CO₂NTESSA</t>
  </si>
  <si>
    <t>NEXE, ThyssenKrupp</t>
  </si>
  <si>
    <t>Capture from Nasice cement plant for storage in Bockovici storage site in a saline aquifer.</t>
  </si>
  <si>
    <t>Zolijan, Croatia</t>
  </si>
  <si>
    <t>March</t>
  </si>
  <si>
    <t>https://www.total-croatia-news.com/business/66790-croatian-nexe</t>
  </si>
  <si>
    <t>HR-003</t>
  </si>
  <si>
    <t>KOdeCO net Zero</t>
  </si>
  <si>
    <t xml:space="preserve">Holcim Group
</t>
  </si>
  <si>
    <t xml:space="preserve">Capture from cement plant 
</t>
  </si>
  <si>
    <t xml:space="preserve">Koromacno, Croatia
</t>
  </si>
  <si>
    <t>Included in territorial just transition fund, Selected for Grant Agreement Preparation by the EU Innovation Fund *3rd Round</t>
  </si>
  <si>
    <t>https://www.holcim.com/what-we-do/green-operations/ccus/kodeco</t>
  </si>
  <si>
    <t>CZ-001</t>
  </si>
  <si>
    <t>CCS Moravia</t>
  </si>
  <si>
    <t>Capture from cement</t>
  </si>
  <si>
    <t>Czechia</t>
  </si>
  <si>
    <t>DK-005</t>
  </si>
  <si>
    <t>Aalborg Portland (ACCSION)</t>
  </si>
  <si>
    <t>Aalborg Portland</t>
  </si>
  <si>
    <t>Capture from cement plant - to use onshore storage in North Jutland</t>
  </si>
  <si>
    <t xml:space="preserve">Selected for grant preparation IF23 </t>
  </si>
  <si>
    <t>https://www.aalborgportland.dk/aalborg-portland-vil-teste-fangst-og-lagring-af-co2-i-2022/</t>
  </si>
  <si>
    <t>FR-002</t>
  </si>
  <si>
    <t>CalCC</t>
  </si>
  <si>
    <t>Chaux et Dolomies du Boulonnais (Lhoist Group)</t>
  </si>
  <si>
    <t>Capture from lime plant and transport to export terminal at Dunkirk</t>
  </si>
  <si>
    <t>FR-003</t>
  </si>
  <si>
    <t>K6</t>
  </si>
  <si>
    <t>Eqiom, Air Liquide</t>
  </si>
  <si>
    <t>CO2 captured at cement production facility</t>
  </si>
  <si>
    <t>Lumbres, France</t>
  </si>
  <si>
    <t>The project has received funding from the EU Innovation Fund</t>
  </si>
  <si>
    <t>FR-004</t>
  </si>
  <si>
    <t>VAIA: Vicat Advanced Industrial 
Alliance</t>
  </si>
  <si>
    <t>Vicat, Elengy, Société du Pipeline Sud-Européen (SPSE), Elengy, ENI, RTE</t>
  </si>
  <si>
    <t>CO₂ capture plant at Vicat’s Montalieu-Vercieu site with 1Mt/yr capacity, aiming for 94% emission reduction. CO₂ may be transported by barge, train, or pipeline to Fos-sur-Mer to end up in geological storage.Part of Rhône CO₂ hub.</t>
  </si>
  <si>
    <t>Montalieu, France</t>
  </si>
  <si>
    <t>June</t>
  </si>
  <si>
    <t>The Vicat group launches the VAIA project as an accelerator of the decarbonization ambitions | Vicat</t>
  </si>
  <si>
    <t>FR-005</t>
  </si>
  <si>
    <t>Holcim Saint-Pierre-la-Cour CCS</t>
  </si>
  <si>
    <t>Holcim, Holcim, Elengy, GRTgaz</t>
  </si>
  <si>
    <t>Scalable carbon capture at cement plant; 1 Mtpa CO2 captured and transported via pipeline and/or ship for underwater geological storage at Saint Nazaire port as part of GOCO2 cluster.</t>
  </si>
  <si>
    <t>Saint-Pierre-la-Cour, France</t>
  </si>
  <si>
    <t>Scalable CC technology with infrastructure development for CO2 transport to Saint Nazaire port.</t>
  </si>
  <si>
    <t>https://video.holcim.com/goco2-unlocking-the-potential-of</t>
  </si>
  <si>
    <t>FR-006</t>
  </si>
  <si>
    <t>CarboClearTech</t>
  </si>
  <si>
    <t>Lafarge Ciments</t>
  </si>
  <si>
    <t>Carbon capture for storage project at Martres-Tolosane Cement Plant</t>
  </si>
  <si>
    <t>Martres-Tolosane, France</t>
  </si>
  <si>
    <t>IF23 call invited grant preparation</t>
  </si>
  <si>
    <t>https://www.holcim.com/media/media-releases/eu-innovation-fund-cleantech-france</t>
  </si>
  <si>
    <t>FR-007</t>
  </si>
  <si>
    <t>AirvaultGOCO₂</t>
  </si>
  <si>
    <t>Heidelberg Materials, GRTgaz</t>
  </si>
  <si>
    <t>Co2 capture from Airvault cement facility, biogenic portion of the captured CO₂,, is to be used for the production of e-fuels. Project is part of the GOCO₂ initiative; Co2 transported by pipeline and ship</t>
  </si>
  <si>
    <t>Airvault, France</t>
  </si>
  <si>
    <t xml:space="preserve">IF24Call - Invited to grant agreement preparation. First large-scale CCUS network for deep inland emitters starting from the Europe’s first zero water intake cement plant.
</t>
  </si>
  <si>
    <t>https://www.heidelbergmaterials.com/en/pr-2024-03-13</t>
  </si>
  <si>
    <t>FR-008</t>
  </si>
  <si>
    <t>Neau GOCO2</t>
  </si>
  <si>
    <t>Capture at Lhoist’s Neau lime plant; part of the Grand Ouest CO₂</t>
  </si>
  <si>
    <t>Neau, France</t>
  </si>
  <si>
    <t>Part of GOCO₂ cluster</t>
  </si>
  <si>
    <t>Reception</t>
  </si>
  <si>
    <t>FR-009</t>
  </si>
  <si>
    <t xml:space="preserve">Ameli Lime
</t>
  </si>
  <si>
    <t>Ameli Green Lime Solutions (JV ArcelorMittal Global Holding, Sigmaroc, Carrières Du Boulonnais), ArcelorMittal, Aqualung</t>
  </si>
  <si>
    <t>Project aiming to be Europe’s first fully net-zero CO2 quicklime production facility. The project involves carbon capture, utilization, and storage (CCUS) and plans to use Aqualung's membrane technology across all existing operational kilns. Part of Dunkirk Co2 hub.</t>
  </si>
  <si>
    <t>https://www.sigmaroc.com/case-study/creating-net-zero-lime</t>
  </si>
  <si>
    <t>DE-001</t>
  </si>
  <si>
    <t>Leilac-2</t>
  </si>
  <si>
    <t>Heidelberg Materials, CEMEX, Lhoist, Cimpor, IKN, CERTH, Royal Belgian Institute of
Natural Sciences, BGR, POLIMI, Engie Laborelec and the Port of Rotterdam</t>
  </si>
  <si>
    <t>Demonstration project to fit retrofitable capture module that is designed to be integrated and operated in an operational cement plant with minimal downtime.</t>
  </si>
  <si>
    <t>Germany</t>
  </si>
  <si>
    <t>Ennigerloh, Germany</t>
  </si>
  <si>
    <t>FID taken in March 2022, but location moved from Hamburg to Ennigerloh due to planned end of clinker production at original location.</t>
  </si>
  <si>
    <t>April</t>
  </si>
  <si>
    <t>https://carbonherald.com/heidelberg-materials-france-to-launch-ccus-installation-at-airvault-cement-plant/</t>
  </si>
  <si>
    <t>DE-002</t>
  </si>
  <si>
    <t>EVEREST</t>
  </si>
  <si>
    <t>Rheinkalk GmbH</t>
  </si>
  <si>
    <t>Full decarbonisation of Europe's largest lime plant by building 3 first-of-a-kind oxyfuel kilns equipped with carbon capture technology and retrofitting existing kilns for carbon capture.</t>
  </si>
  <si>
    <t>Wülfrath, Germany</t>
  </si>
  <si>
    <t>July</t>
  </si>
  <si>
    <t>https://climate.ec.europa.eu/eu-action/funding-climate-action/innovation-fund/large-scale-calls/projects-selected-grant-preparation_en</t>
  </si>
  <si>
    <t>DE-003</t>
  </si>
  <si>
    <t>GeZero</t>
  </si>
  <si>
    <t>Heidelberg Materials, Wintershall Dea</t>
  </si>
  <si>
    <t>Capture from Geseke cement plant using 2nd generation oxyfuel kiln combined with CO₂ purification, a liquefaction unit, as well as rail loading and interim storage facilities - will also offer aggregation for smaller emitters. CO2 transport to distribution hub in Wilhelmshaven, then to North Sea by ship/pipeline.</t>
  </si>
  <si>
    <t>Geseke, Germany</t>
  </si>
  <si>
    <t>https://www.heidelbergmaterials.com/en/pr-2023-07-13</t>
  </si>
  <si>
    <t>DE-004</t>
  </si>
  <si>
    <t>CO2LLECT</t>
  </si>
  <si>
    <t>Cemex, Linde</t>
  </si>
  <si>
    <t>HISORP® cryogenic-adsorptive CO₂ capture at Rüdersdorf Cement Plant capturing 1,300,000 tpa; raw CO₂ compressed, liquefied, transported by rail to an intermediate hub and shipped offshore for permanent sequestration in the North Sea; integrated green electricity and water recycling</t>
  </si>
  <si>
    <t>Rüdersdorf, Germany</t>
  </si>
  <si>
    <t>EU Innovation Fund support of €157M; Cemex’s largest CCUS project; Invited for grant preparation; uses Linde's HISORP® technology</t>
  </si>
  <si>
    <t>https://www.cemex.com/w/eu-backs-pioneering-co2-capture-project-at-cemexs-rudersdorf-cement-plant</t>
  </si>
  <si>
    <t>DE-005</t>
  </si>
  <si>
    <t>Holcim Höver</t>
  </si>
  <si>
    <t xml:space="preserve">CO2 capture unit using  PolyActive membrane technology by Hereon at Höver cement plant. The project will be implemented in three phases, starting with initial tests in 2022, followed by a pilot phase capturing 5,600 t/yr of CO2 in 2023, expanding to 170,000 t/yr in 2024, and ultimately reaching 1.3 Mt/yr by 2026, capturing over 90% of the plant's CO2 emissions. </t>
  </si>
  <si>
    <t>Höver, Germany</t>
  </si>
  <si>
    <t>The Ministry for Economic Affairs and Climate Action has approved funding</t>
  </si>
  <si>
    <t>https://www.globalcement.com/news/item/13152-holcim-deutschland-to-build-a-pilot-co2-capture-unit-at-hoever-cement-plant</t>
  </si>
  <si>
    <t>DE-006</t>
  </si>
  <si>
    <t>Deuna Plant</t>
  </si>
  <si>
    <t>Dyckerhoff GmbH</t>
  </si>
  <si>
    <t>Dyckerhoff is planning to invest around EUR 350 million in a carbon capture installation at its Deuna cement plant in Thuringia, Germany. This project aims to reduce the plant's CO2 emissions by approximately 620,000 tons per year, enabling the production and sale of Net-Zero cement.</t>
  </si>
  <si>
    <t>Deuna, Germany</t>
  </si>
  <si>
    <t>Dyckerhoff is planning to invest around EUR 350 million in the construction of a carbon capture installation at its Deuna plant in Thuringia. "Once the investment is completed, the Dyckerhoff plant in Deuna will be one of the first plants in Germany to produce and sell Net-Zero cement,"</t>
  </si>
  <si>
    <t>https://www.dyckerhoff.com/media/news/co2-abscheideanlage-im-werk-deuna</t>
  </si>
  <si>
    <t>GR-001</t>
  </si>
  <si>
    <t>IFESTOS</t>
  </si>
  <si>
    <t>TITAN Group</t>
  </si>
  <si>
    <t>Capture at Kamari Cement plant. The project is intended to be part of an eco-system of projects to combine carbon capture points with transportation and storage infrastructure.</t>
  </si>
  <si>
    <t>Greece</t>
  </si>
  <si>
    <t>Kamari, Greece</t>
  </si>
  <si>
    <t>https://www.titan.gr/en/newsroom/news-and-press-releases/new?item=1648</t>
  </si>
  <si>
    <t>GR-002</t>
  </si>
  <si>
    <t>OLYMPUS</t>
  </si>
  <si>
    <t>Holcim Group</t>
  </si>
  <si>
    <t>Capture from Milaki cement plant and storage in Prinos basin</t>
  </si>
  <si>
    <t>Aliveri, Greece</t>
  </si>
  <si>
    <t xml:space="preserve">  2,000,000 -  2,300,000 </t>
  </si>
  <si>
    <t>Supported by Innovation Fund</t>
  </si>
  <si>
    <t>https://annual-report.holcim.com/fileadmin/user_upload/2022/pdf/24022023-finance-holcim-fy-2022-report-full-en-3914999618.pdf</t>
  </si>
  <si>
    <t>IT-001</t>
  </si>
  <si>
    <t xml:space="preserve">Buzzi Unicem Augusta Cement Plant
</t>
  </si>
  <si>
    <t>Buzzi Unicem Spa</t>
  </si>
  <si>
    <t>CO2 capture plant installed at a cement plant, storage at Prinos storage site in Greece</t>
  </si>
  <si>
    <t>Italy</t>
  </si>
  <si>
    <t>Augusta, Italy</t>
  </si>
  <si>
    <t xml:space="preserve">Part of Augusta-C2/Prinos CO2 storage
</t>
  </si>
  <si>
    <t>*PCI candidate list</t>
  </si>
  <si>
    <t>LV-001</t>
  </si>
  <si>
    <t>Brocēni cement plant</t>
  </si>
  <si>
    <t>Capsol, SCHWENK</t>
  </si>
  <si>
    <t>Capture from cement production plant.</t>
  </si>
  <si>
    <t>Latvia</t>
  </si>
  <si>
    <t>Brocēni, Latvia</t>
  </si>
  <si>
    <t>https://carboncapturemagazine.com/articles/capsol-technologies-awarded-feasibility-study-from-cement-producer-schwenk</t>
  </si>
  <si>
    <t>LT-001</t>
  </si>
  <si>
    <t>Akmenės Cementas</t>
  </si>
  <si>
    <t>Schwenk / Akmenės Cementas / CCS Baltic Consortium</t>
  </si>
  <si>
    <t>CO₂ capture at cement plant; liquefaction / buffer; transport to Klaipėda terminal; shipping to offshore</t>
  </si>
  <si>
    <t>Lithuania</t>
  </si>
  <si>
    <t>Akmenės, Lithuania</t>
  </si>
  <si>
    <t>CCS Baltic - CCS Baltic Consortium project</t>
  </si>
  <si>
    <t>NO-001</t>
  </si>
  <si>
    <t>Brevik CCS</t>
  </si>
  <si>
    <t>HeidelbergCement</t>
  </si>
  <si>
    <t xml:space="preserve">Mou with FLSmidth to coordinate on capture </t>
  </si>
  <si>
    <t>Norway</t>
  </si>
  <si>
    <t>Brevik, Norway</t>
  </si>
  <si>
    <t xml:space="preserve">Cement </t>
  </si>
  <si>
    <t xml:space="preserve">Norwegian Government support as part of Northern Lights. </t>
  </si>
  <si>
    <t>https://www.heidelbergcement.com/en/pr-15-12-2020</t>
  </si>
  <si>
    <t>Go4ECOPlanet</t>
  </si>
  <si>
    <t>Lafarge Cement</t>
  </si>
  <si>
    <t>Capture from cement plant, using cryocap technology and transport to export terminal  ECO2CEE at Gdansk for offshore storage in a saline aquifer</t>
  </si>
  <si>
    <t xml:space="preserve">Poland </t>
  </si>
  <si>
    <t>Poland</t>
  </si>
  <si>
    <t>ES-001</t>
  </si>
  <si>
    <t>SOMZERO CO₂ (Cemex Alcanar)</t>
  </si>
  <si>
    <t>Cemex, Cetaqua, Carbon Clean, Enagás Renovable</t>
  </si>
  <si>
    <t>Post-combustion capture at Cemex Alcanar cement plant; CO₂ transported via pipeline/ship to TarraCO₂ storage hub</t>
  </si>
  <si>
    <t>Spain</t>
  </si>
  <si>
    <t>Catalonia, Spain</t>
  </si>
  <si>
    <t>Supported by EU Innovation Fund; Cemex flagship CCS project in Spain</t>
  </si>
  <si>
    <t>EU Innovation Fund PDF</t>
  </si>
  <si>
    <t>ES-002</t>
  </si>
  <si>
    <t>CO2necta</t>
  </si>
  <si>
    <t>LafargeHolcim, Enagás and Saggas</t>
  </si>
  <si>
    <t>A capture plant at Holcim’s Sagunto facility will feed CO₂ via Enagás infrastructure to Saggas’ terminal at the Port of Sagunto, where it’s liquefied and shipped for geological storage.</t>
  </si>
  <si>
    <t>Sagunto, Spain</t>
  </si>
  <si>
    <t>Geological storage</t>
  </si>
  <si>
    <t>https://www.globalcement.com/news/item/18342-holcim-enagas-and-saggas-to-develop-co2-capture-and-storage-project-at-sagunto-plant</t>
  </si>
  <si>
    <t>ES-003</t>
  </si>
  <si>
    <t>Arrigorriaga Cement Plant</t>
  </si>
  <si>
    <t>Heidelberg Materials and Enagás</t>
  </si>
  <si>
    <t>CO₂ capture, transport, liquefaction, and storage project to assess feasibility and design infrastructure, using Enagás’ regasification terminals. The project supports carbon capture at Heidelberg’s Añorga and Arrigorriaga cement plants.</t>
  </si>
  <si>
    <t>Arrigorriaga, Spain</t>
  </si>
  <si>
    <t>November</t>
  </si>
  <si>
    <t>https://www.globalcement.com/news/item/18113-heidelberg-materials-hispania-partners-with-enagas-for-carbon-capture-and-storage-project-in-northern-spain</t>
  </si>
  <si>
    <t>SE-004</t>
  </si>
  <si>
    <t>Cementa Slite Plant</t>
  </si>
  <si>
    <t>Offshore storage</t>
  </si>
  <si>
    <t>Slite, Sweden</t>
  </si>
  <si>
    <t>Planning at this site will draw from experience gained at Brevik site</t>
  </si>
  <si>
    <t>https://www.heidelbergcement.com/en/pr-02-06-2021</t>
  </si>
  <si>
    <t>GB-003</t>
  </si>
  <si>
    <t>Padeswood CCS</t>
  </si>
  <si>
    <t>Hanson, Heidelberg Materials</t>
  </si>
  <si>
    <t>Capture from cement plant, offshore storage as part of HyNet</t>
  </si>
  <si>
    <t>Padeswood, UK</t>
  </si>
  <si>
    <t>Part of HyNet</t>
  </si>
  <si>
    <t>https://www.padeswoodccs.co.uk/en</t>
  </si>
  <si>
    <t>GB-004</t>
  </si>
  <si>
    <t>Lhoist Hindlow</t>
  </si>
  <si>
    <t>CO₂ capture from lime production (Peak Cluster)</t>
  </si>
  <si>
    <t>Derbyshire, UK</t>
  </si>
  <si>
    <t>Part of Peak Cluster</t>
  </si>
  <si>
    <t>About – Peak Cluster</t>
  </si>
  <si>
    <t>GB-005</t>
  </si>
  <si>
    <t>Hope Cement Works</t>
  </si>
  <si>
    <t>Breedon</t>
  </si>
  <si>
    <t>CO₂ capture from cement production (Peak Cluster)</t>
  </si>
  <si>
    <t>GB-006</t>
  </si>
  <si>
    <t>Buxton Lime Net Zero</t>
  </si>
  <si>
    <t>Tarmac</t>
  </si>
  <si>
    <t>CO₂ capture from lime production facility (Peak Cluster)</t>
  </si>
  <si>
    <t>NO-002</t>
  </si>
  <si>
    <t>CarbonCapture Holla</t>
  </si>
  <si>
    <t>Wacker Chemie, Aker Carbon Capture</t>
  </si>
  <si>
    <t xml:space="preserve">d CO2 capture from silicon production, A pilot test achieved over 95% capture rates using amine scrubbing. An engineering feasibility study is underway for a plant that could capture 180,000 metric tons of CO2 annually, potentially for reuse in e-fuels or methanol synthesis, or for storage </t>
  </si>
  <si>
    <t>Holla, Norway</t>
  </si>
  <si>
    <t>Chemical</t>
  </si>
  <si>
    <t>Silicon</t>
  </si>
  <si>
    <t>https://www.wacker.com/cms/media/en/documents/pressrelease-pdf/pm2024/24_carboncapture.pdf</t>
  </si>
  <si>
    <t>FR-010</t>
  </si>
  <si>
    <t>Oak DAC</t>
  </si>
  <si>
    <t>RepAir, C-Questra</t>
  </si>
  <si>
    <t xml:space="preserve">First DAC project in France. Phase 1 capture of 3,000 TPA up to 100,000 TPA by phase 2. </t>
  </si>
  <si>
    <t>Grandpuits, France</t>
  </si>
  <si>
    <t>Direct Air Capture</t>
  </si>
  <si>
    <t>https://www.euronews.com/next/2024/08/19/eu-to-get-its-first-onshore-carbon-removal-and-storage-facility-in-france</t>
  </si>
  <si>
    <t>GR-003</t>
  </si>
  <si>
    <t>Olea DAC</t>
  </si>
  <si>
    <t>RepAir, EnEarth (Energean)</t>
  </si>
  <si>
    <t>Associated with Energean's Prinos storage project. DAC project with permanent storage in the Prinos saline aquifer in Greece. Phase 1 capture of 1,000 TPA up to 100,000 TPA by phase 3.</t>
  </si>
  <si>
    <t>Kavala, Greece</t>
  </si>
  <si>
    <t>https://www.repair-carbon.com/projects</t>
  </si>
  <si>
    <t>IS-001</t>
  </si>
  <si>
    <t>Removr Commerical Plant 1</t>
  </si>
  <si>
    <t>Removr, Carbfix, COWI,  GreenCAP Solutions, ON Power, SINTEF, Metier, Citec and DNV</t>
  </si>
  <si>
    <t>CO2 capture with GreenCap's zeolite solid adsorbent technology. The captured CO2 will besubsequently stored via Carbfix's mineralization method,</t>
  </si>
  <si>
    <t>Iceland</t>
  </si>
  <si>
    <t>Location TBD, Iceland</t>
  </si>
  <si>
    <t>Basalt</t>
  </si>
  <si>
    <t>Basalt Mineralization</t>
  </si>
  <si>
    <t>https://www.carbfix.com/carbfix-and-removr-team-up-for-direct-air-capture-and</t>
  </si>
  <si>
    <t>IS-002</t>
  </si>
  <si>
    <t>Removr Commerical Plant2</t>
  </si>
  <si>
    <t>Removr, Carbfix, COWI, GreenCAP Solutions, ON Power, SINTEF, Metier, Citec and DNV</t>
  </si>
  <si>
    <t>https://www.removr.no/news/removr-partners-with-carbfix-100000t-plant-iceland</t>
  </si>
  <si>
    <t>IS-003</t>
  </si>
  <si>
    <t>Mammoth</t>
  </si>
  <si>
    <t>Climeworks, Carbfix</t>
  </si>
  <si>
    <t>Direct air capture with mineral storage in basalt structures</t>
  </si>
  <si>
    <t>Hellisheiði, Iceland</t>
  </si>
  <si>
    <t>Direct Air capture</t>
  </si>
  <si>
    <t>Operational</t>
  </si>
  <si>
    <t>https://climeworks.com/news/climeworks-announces-groundbreaking-on-mammoth</t>
  </si>
  <si>
    <t>GB-007</t>
  </si>
  <si>
    <t>Sizewell C DAC</t>
  </si>
  <si>
    <t>Sizewell C, Associated British Ports (ABP) , Birmingham University, Nottingham University, Helical, Atkins and Altrad Babcock</t>
  </si>
  <si>
    <t xml:space="preserve">
DAC facility aims to capture CO2 from ambient air using novel heat-assisted DAC technology, heat transported through underground pipes from the Sizewell C Nuclear power plant.</t>
  </si>
  <si>
    <t>Port of Lowestoft, UK</t>
  </si>
  <si>
    <t>The UK GOV awarded £3m to develop a novel heat-assisted DAC technology as part of the Greenhouse Gas Removals competition.</t>
  </si>
  <si>
    <t>https://www.sizewellc.com/news-views/agreement-for-direct-air-capture-plans-at-port-of-lowestoft/</t>
  </si>
  <si>
    <t>GB-008</t>
  </si>
  <si>
    <t xml:space="preserve">Drax BECCS Plant </t>
  </si>
  <si>
    <t xml:space="preserve">Drax </t>
  </si>
  <si>
    <t>Biomass-fired power plant - part of Zero Carbon Humber</t>
  </si>
  <si>
    <t>Drax, UK</t>
  </si>
  <si>
    <t>Biomass power plant</t>
  </si>
  <si>
    <t>Up to 8,000,000</t>
  </si>
  <si>
    <t>https://beccs-drax.com/our-proposal/</t>
  </si>
  <si>
    <t>GB-009</t>
  </si>
  <si>
    <t>Killingholme Low Carbon Power (CCGT CCS)</t>
  </si>
  <si>
    <t>Uniper UK Ltd</t>
  </si>
  <si>
    <t>CCGT (Combined Cycle Gas Turbine) power station with integrated Carbon Capture and Storage</t>
  </si>
  <si>
    <t>Natural Gas</t>
  </si>
  <si>
    <t>CCGT power station with post-combustion carbon capture designed to capture up to ~95% of CO₂ emissions.</t>
  </si>
  <si>
    <t xml:space="preserve"> </t>
  </si>
  <si>
    <t>BE-004</t>
  </si>
  <si>
    <t>H2BE</t>
  </si>
  <si>
    <t>Equinor, ENGIE</t>
  </si>
  <si>
    <t>Hydrogen production with CO2 storage in the North Sea</t>
  </si>
  <si>
    <t>Ghent, Belgium</t>
  </si>
  <si>
    <t>Hydrogen</t>
  </si>
  <si>
    <t>FI-001</t>
  </si>
  <si>
    <t xml:space="preserve">SHARC – Sustainable Hydrogen and Recovery of Carbon </t>
  </si>
  <si>
    <t>Neste</t>
  </si>
  <si>
    <t>CO2 captured at hydrogen facility</t>
  </si>
  <si>
    <t>Finland</t>
  </si>
  <si>
    <t>Porvoo, Finland</t>
  </si>
  <si>
    <t>DE-007</t>
  </si>
  <si>
    <t>BlueHyNow</t>
  </si>
  <si>
    <t>Wintershall Dea, NWO</t>
  </si>
  <si>
    <t>Blue hydrogen production</t>
  </si>
  <si>
    <t>Wilhelmshaven, Germany</t>
  </si>
  <si>
    <t>https://www.offshore-energy.biz/wintershall-dea-and-nwo-to-work-on-bluehynow-hydrogen-production-plant/</t>
  </si>
  <si>
    <t>DE-008</t>
  </si>
  <si>
    <t>H2GE Rostock</t>
  </si>
  <si>
    <t>VNG, Equinor</t>
  </si>
  <si>
    <t>Rostock, Germany</t>
  </si>
  <si>
    <t>https://www.vng.de/en/newsroom/2022-07-04-equinor-and-vng-extending-cooperation-hydrogen-ammonia-and-carbon-capture</t>
  </si>
  <si>
    <t>GR-004</t>
  </si>
  <si>
    <t>IRIS</t>
  </si>
  <si>
    <t>Motor Oil (Hellas) Corinth Refineries SA</t>
  </si>
  <si>
    <t xml:space="preserve">carbon capture technology on its Steam Methane Reformer (SMR), The bulk of the captured carbon will be sequestered in an offshore storage facility in the North Aegean Sea, while a small amount will be utilised to produce 10 000 tonnes of e-methanol per year, </t>
  </si>
  <si>
    <t>Agioi Theodoroi, Greece</t>
  </si>
  <si>
    <t>Gas Reservoir</t>
  </si>
  <si>
    <t>EU Innovation Fund-supported IRIS project; regulatory challenges with transboundary maritime CO₂ transport and permitting.</t>
  </si>
  <si>
    <t>https://www.homaio.com/post/iris---greece</t>
  </si>
  <si>
    <t>NL-003</t>
  </si>
  <si>
    <t>Air Liquide Rotterdam Capture</t>
  </si>
  <si>
    <t>Air Liquide</t>
  </si>
  <si>
    <t>Post-combustion CO₂ capture at hydrogen plant in Botlek/Rotterdam; CO₂ sent to Porthos offshore storage</t>
  </si>
  <si>
    <t>Botlek, Netherlands</t>
  </si>
  <si>
    <t>Part of Porthos cluster, decarbonises existing H₂ plant</t>
  </si>
  <si>
    <t>Air Liquide to build a world-scale CO₂ capture unit to contribute to Rotterdam’s industrial basin decarbonization | Air Liquide</t>
  </si>
  <si>
    <t>NL-004</t>
  </si>
  <si>
    <t xml:space="preserve">Air Product Botlek </t>
  </si>
  <si>
    <t>Air Products</t>
  </si>
  <si>
    <t>CO₂ capture from Air Products’ hydrogen production plant in the Botlek industrial area (Rotterdam). Captured CO₂ will be transported via the Porthos pipeline and stored in depleted gas fields under the North Sea</t>
  </si>
  <si>
    <t>Part of Porthos cluster</t>
  </si>
  <si>
    <t>Air Products to Build Europe’s Largest Blue Hydrogen Plant and Strengthens Long-term Agreement</t>
  </si>
  <si>
    <t>NL-005</t>
  </si>
  <si>
    <t>Rotterdam Blue Hydrogen</t>
  </si>
  <si>
    <t>Onyx Power</t>
  </si>
  <si>
    <t>Production of blue hydrogen with a capacity of 1,200 MW and a production of approximately 300 kiloton per annum. Storage in depleted offshore gas fields.</t>
  </si>
  <si>
    <t>Rotterdam, Netherlands</t>
  </si>
  <si>
    <t xml:space="preserve">Environmental impact assessment being conducted.
</t>
  </si>
  <si>
    <t>https://www.portofrotterdam.com/en/news-and-press-releases/onyx-plans-to-build-plant-for-blue-hydrogen</t>
  </si>
  <si>
    <t>NL-006</t>
  </si>
  <si>
    <t>H-Vision</t>
  </si>
  <si>
    <t>Air Liquide, BP, Shell, Deltalinqs, EBN, Equinor, GasTErra, Gasunie, Linde, OCI Nitrogen, TAQA, TNO Uniper, Vopak, Port of Rotterdam. </t>
  </si>
  <si>
    <t>ATR hydrogen production plant with CCS facilities.</t>
  </si>
  <si>
    <t>Port of Rotterdam, Netherlands</t>
  </si>
  <si>
    <t>Hydrogen for local industry</t>
  </si>
  <si>
    <t>1,300,000 to 2,700,000</t>
  </si>
  <si>
    <t>Project will require a combination of public and private financing to realize. Funding is being discussed by project collaborators and Dutch government.</t>
  </si>
  <si>
    <t>https://www.deltalinqs.nl/h-vision-en</t>
  </si>
  <si>
    <t>NL-007</t>
  </si>
  <si>
    <t>H2morrow </t>
  </si>
  <si>
    <t>Equinor, OGE, ThyssenKrupp</t>
  </si>
  <si>
    <t>Storage at Northern Lights or Porthos being evaluated</t>
  </si>
  <si>
    <t>Hydrogen for steel and other industry</t>
  </si>
  <si>
    <t>H2morrow steel concludes feasibility study, project partners to continue cooperation: supply of Duisburg steel mill with blue hydrogen technically possible, but clarification of political and regulatory framework required</t>
  </si>
  <si>
    <t>https://www.thyssenkrupp.com/en/newsroom/press-releases/pressdetailpage/h2morrow-steel-concludes-feasibility-study--project-partners-to-continue-cooperation--supply-of-duisburg-steel-mill-with-blue-hydrogen-technically-possible--but-clarification-of-political-and-regulatory-framework-required-93593</t>
  </si>
  <si>
    <t>NL-008</t>
  </si>
  <si>
    <t>Vlissingen Cryocap FG</t>
  </si>
  <si>
    <t>Air Liquide, TotalEnergies, Lukoil</t>
  </si>
  <si>
    <t>Hydrogen production at a refinery (part of Carbon Connect Delta)</t>
  </si>
  <si>
    <t>Vlissingen, Netherlands</t>
  </si>
  <si>
    <t>Hydrogen production for refinery</t>
  </si>
  <si>
    <t>As part of the agreement, Air Liquide will provide the Licence, Process Design Package and technical services for a Cryocap FG plant</t>
  </si>
  <si>
    <t>https://www.bunkerspot.com/europe/53381-europe-air-liquide-and-zeeland-refinery-team-up-on-carbon-capture</t>
  </si>
  <si>
    <t>NL-009</t>
  </si>
  <si>
    <t>H2-Gateway</t>
  </si>
  <si>
    <t>EBN, Gasunie, NAM, Port of Den Helder, New Energy Coalition</t>
  </si>
  <si>
    <t>CO₂ capture from blue hydrogen production with storage in empty gas fields in North Sea</t>
  </si>
  <si>
    <t>Den Helder, Netherlands</t>
  </si>
  <si>
    <t>FEED-study (2020–2027)</t>
  </si>
  <si>
    <t>https://topsectorenergie.nl/documents/99/TKI_Nieuw_Gas-Overview_Hydrogen_projects_in_the_Netherlands_-_version_-_220627.pdf</t>
  </si>
  <si>
    <t>NO-003</t>
  </si>
  <si>
    <t>Mongstad Industrial Transformation project</t>
  </si>
  <si>
    <t>Equinor, Aker Solutions</t>
  </si>
  <si>
    <t>Feasibility study for carbon capture and blue hydrogen at existing refinery.</t>
  </si>
  <si>
    <t>Mongstad, Norway</t>
  </si>
  <si>
    <t>Hydrogen, oil refinery</t>
  </si>
  <si>
    <t>Feasibility study</t>
  </si>
  <si>
    <t>February</t>
  </si>
  <si>
    <t>https://www.offshore-mag.com/energy-transition/article/14305168/aker-solutions-equinor-considers-carbon-capture-development-at-mongstad</t>
  </si>
  <si>
    <t>NO-004</t>
  </si>
  <si>
    <t>Barents Blue</t>
  </si>
  <si>
    <t>Horisont Energi, Baker Hughes, Equinor</t>
  </si>
  <si>
    <t>Production of ammonia from natural gas</t>
  </si>
  <si>
    <t>Hammerfest, Norway</t>
  </si>
  <si>
    <t>Ammonia for fuel</t>
  </si>
  <si>
    <t>2,000,000 to 6,000,000</t>
  </si>
  <si>
    <t>https://www.horisontenergi.no/horisont-energi-equinor-and-var-energi-enter-cooperation-agreement-for-barents-blue-ammonia-plant/</t>
  </si>
  <si>
    <t>GB-010</t>
  </si>
  <si>
    <t>H2H Saltend</t>
  </si>
  <si>
    <t>Equinor</t>
  </si>
  <si>
    <t>Low-carbon hydrogen production, 600MW production target, aims to start operations 2026/2027, part of east coast cluster</t>
  </si>
  <si>
    <t>Hull, UK</t>
  </si>
  <si>
    <t>Part of East Coast Cluster, has passed phase 2 of government's cluster sequencing program</t>
  </si>
  <si>
    <t>August</t>
  </si>
  <si>
    <t>https://www.equinor.com/energy/h2h-saltend</t>
  </si>
  <si>
    <t>GB-011</t>
  </si>
  <si>
    <t>H2 Teesside</t>
  </si>
  <si>
    <t>BP</t>
  </si>
  <si>
    <t>160,000 tonnes of CCUS-enabled blue hydrogen production and start-up in 2027, as part of the East Coast Cluster</t>
  </si>
  <si>
    <t>Teesside, UK</t>
  </si>
  <si>
    <t>Selected for Track 1 Project Negotiation List, Part of East Coast Cluster</t>
  </si>
  <si>
    <t>https://energyindustryreview.com/power/hygreen-teesside-bps-first-green-h2-project-in-the-uk/</t>
  </si>
  <si>
    <t>GB-012</t>
  </si>
  <si>
    <t>Acorn Hydrogen</t>
  </si>
  <si>
    <t>Pale Blue Dot, Shell and Harbour Energy</t>
  </si>
  <si>
    <t>Capture from blue hydrogen production</t>
  </si>
  <si>
    <t>Aberdeenshire, UK</t>
  </si>
  <si>
    <t>Depleted Gas Reservoir and Saline Storage</t>
  </si>
  <si>
    <t>https://www.theacornproject.uk/projects</t>
  </si>
  <si>
    <t>GB-013</t>
  </si>
  <si>
    <t>H2NorthEast</t>
  </si>
  <si>
    <t>Kellas Midstream Ltd.</t>
  </si>
  <si>
    <t>355MW, scaling to 1GW by 2030, CCUS enabled blue hydrogen production, as part of East Coast Cluster</t>
  </si>
  <si>
    <t>Part of East Coast Cluster</t>
  </si>
  <si>
    <t>https://www.kellasmidstream.com/news-kellas/hydrogen-production-in-teesside</t>
  </si>
  <si>
    <t>GB-014</t>
  </si>
  <si>
    <t>Humber H2ub</t>
  </si>
  <si>
    <t>Uniper</t>
  </si>
  <si>
    <t>Low-carbon hydrogen production, Part of East Coast Cluster. Blue hydrogen hub (~720 MW) with CO₂ capture and storage</t>
  </si>
  <si>
    <t>Humber, UK</t>
  </si>
  <si>
    <t>https://www.uniper.energy/solutions/energy-transformation-hubs/energy-transformation-hub-killingholme/project-humber-h2ub</t>
  </si>
  <si>
    <t>GB-015</t>
  </si>
  <si>
    <t>Teeside Hydrogen CO2 Capture</t>
  </si>
  <si>
    <t>BOC</t>
  </si>
  <si>
    <t>Capture from hydrogen production</t>
  </si>
  <si>
    <t>https://www.boconline.co.uk/en/images/teesside-hydrogen-co2-capture-project_tcm410-676911.pdf</t>
  </si>
  <si>
    <t>GB-016</t>
  </si>
  <si>
    <t>Vertex HPP1&amp;2</t>
  </si>
  <si>
    <t>Essar Oil, Progressive Energy</t>
  </si>
  <si>
    <t>Capture from planned hydrogen production facility, 2 stages, part of HyNet cluster</t>
  </si>
  <si>
    <t>Liverpool, UK</t>
  </si>
  <si>
    <t>Part of Hynet Cluster, selected to progress government cluster sequencing</t>
  </si>
  <si>
    <t>https://vertexhydrogen.com/</t>
  </si>
  <si>
    <t>GB-017</t>
  </si>
  <si>
    <t>Tarmac Carbon Capture</t>
  </si>
  <si>
    <t>Cement plant CO₂ capture (Peak Cluster)</t>
  </si>
  <si>
    <t>GB-018</t>
  </si>
  <si>
    <t>Cauldon Carbon Capture (Holcim)</t>
  </si>
  <si>
    <t>Holcim (Aggregate Industries)</t>
  </si>
  <si>
    <t>GB-019</t>
  </si>
  <si>
    <t>Pembroke Power Station CCS</t>
  </si>
  <si>
    <t xml:space="preserve">CO2 capture from gas fired power station, exploring partnership with Pembroke Net Zero Centre </t>
  </si>
  <si>
    <t>Pembroke, UK</t>
  </si>
  <si>
    <t>https://uk-ireland.rwe.com/rwe-generation-uk/rwes-carbon-capture-projects/</t>
  </si>
  <si>
    <t>GB-020</t>
  </si>
  <si>
    <t>Stallingborough Power Station CCS</t>
  </si>
  <si>
    <t>CO2 capture from newly planned gas fired power station, exploring options for transport and storage with Viking CCS</t>
  </si>
  <si>
    <t>Stallingborough, UK</t>
  </si>
  <si>
    <t>GB-021</t>
  </si>
  <si>
    <t>Staythorpe Power Station CCS</t>
  </si>
  <si>
    <t>CO2 capture from gas fired power station, exploring options for transport and storage with Viking CCS</t>
  </si>
  <si>
    <t>Staythorpe, UK</t>
  </si>
  <si>
    <t>Part of Viking CCS Cluster</t>
  </si>
  <si>
    <t>GB-022</t>
  </si>
  <si>
    <t>Keadby Power</t>
  </si>
  <si>
    <t>SSE Thermal, Equinor</t>
  </si>
  <si>
    <t>Carbon capture at gas power plant</t>
  </si>
  <si>
    <t>Keadby, UK</t>
  </si>
  <si>
    <t>https://www.ssethermal.com/flexible-generation/development/keadby-3-carbon-capture/</t>
  </si>
  <si>
    <t>GB-023</t>
  </si>
  <si>
    <t>Marchwood Power Station</t>
  </si>
  <si>
    <t>Marchwood Power Ltd</t>
  </si>
  <si>
    <t>CCS on natural gas power plant</t>
  </si>
  <si>
    <t>Marchwood, UK</t>
  </si>
  <si>
    <t>https://www.sse.com/media/1yujh34m/sustainability-report-2023-final.pdf</t>
  </si>
  <si>
    <t>GB-024</t>
  </si>
  <si>
    <t xml:space="preserve">Net Zero Teesside Power  </t>
  </si>
  <si>
    <t>NZT Power, NOF</t>
  </si>
  <si>
    <t>Plans to be worls frist commercial scale Gas power plant with CCS, 860MW. Part of East Coast Cluster</t>
  </si>
  <si>
    <t>Tesside, UK</t>
  </si>
  <si>
    <t>FID taken in December 2024</t>
  </si>
  <si>
    <t>https://www.netzeroteesside.co.uk/news/greenlight-for-net-zero-teesside-power/</t>
  </si>
  <si>
    <t>GB-025</t>
  </si>
  <si>
    <t>Peterhead Carbon Capture</t>
  </si>
  <si>
    <t>SSE Thermal and Equinor</t>
  </si>
  <si>
    <t>Proposed Peterhead Carbon Capture Power Station would be a new 900MW power station on the Aberdeenshire coast</t>
  </si>
  <si>
    <t>Peterhead, UK</t>
  </si>
  <si>
    <t>Scottish Cluster</t>
  </si>
  <si>
    <t>https://www.peterheadcarboncapture.com/</t>
  </si>
  <si>
    <t>GB-026</t>
  </si>
  <si>
    <t>VPI Immingham Power CCS</t>
  </si>
  <si>
    <t>VPI</t>
  </si>
  <si>
    <t>Carbon capture at CHP gas plant</t>
  </si>
  <si>
    <t>Inningham, UK</t>
  </si>
  <si>
    <t>Part of Viking CCS</t>
  </si>
  <si>
    <t>https://vpi.co.uk/news/archive/vpi-immingham-a-case-study-for-ccs-in-power/</t>
  </si>
  <si>
    <t>GB-027</t>
  </si>
  <si>
    <t>West Burton Energy</t>
  </si>
  <si>
    <t>EIG/Edf Energy (West Burton Power) ltd</t>
  </si>
  <si>
    <t>Capture from CCGT plant, part of Viking CCS</t>
  </si>
  <si>
    <t>https://www.harbourenergy.com/news-and-media/latest-news/2022/viking-ccs-welcomes-west-burton-energy/</t>
  </si>
  <si>
    <t>GB-028</t>
  </si>
  <si>
    <t>Whitetail Clean Energy</t>
  </si>
  <si>
    <t>Sembcorp, 8 Rivers Capital</t>
  </si>
  <si>
    <t>Construction of a 350 MW Allam Cycle power plant with NET Power technology</t>
  </si>
  <si>
    <t>GB-029</t>
  </si>
  <si>
    <t>Connah's Quay Low Carbon Power</t>
  </si>
  <si>
    <t>Capture from gas power plant</t>
  </si>
  <si>
    <t>GB-030</t>
  </si>
  <si>
    <t>Grain CCGT</t>
  </si>
  <si>
    <t>BE-005</t>
  </si>
  <si>
    <t>Kairos@C</t>
  </si>
  <si>
    <t>Air Liquide and BASF</t>
  </si>
  <si>
    <t>two BASF ethylene oxide units, one BASF ammonia unit, and two Air Liquide hydrogen production units, with CO₂ transported via the Antwerp@C Export Hub to offshore storage in the North Sea</t>
  </si>
  <si>
    <t>Antwerp, Belgium</t>
  </si>
  <si>
    <t>Other Subsector</t>
  </si>
  <si>
    <t>Hydrogen and chemicals</t>
  </si>
  <si>
    <t>Kairos@c</t>
  </si>
  <si>
    <t>BE-006</t>
  </si>
  <si>
    <t>Antwerp – ARCaDe</t>
  </si>
  <si>
    <t>Fluxys, Air Liquide, TotalEnergies</t>
  </si>
  <si>
    <t xml:space="preserve"> CO₂ captured from the refinery’s FCC unit at Antwerp; transported by (hybrid LNG) barge Antwerp→Rotterdam, then exported for permanent storage</t>
  </si>
  <si>
    <t>Refining</t>
  </si>
  <si>
    <t xml:space="preserve">€ 228m EU Innovation Fund in July 2025 </t>
  </si>
  <si>
    <t>101191044.pdf</t>
  </si>
  <si>
    <t>HR-004</t>
  </si>
  <si>
    <t>Petrokemija Kutina</t>
  </si>
  <si>
    <t>Petrokemija Kutina, INA</t>
  </si>
  <si>
    <t>CO2 captured at ammonia facility to be transported via pipeline for onshore storage</t>
  </si>
  <si>
    <t>Kutina, Croatia</t>
  </si>
  <si>
    <t>Ammonia for fertiliser</t>
  </si>
  <si>
    <t>DK-006</t>
  </si>
  <si>
    <t>Kalundborg Refinery CCS</t>
  </si>
  <si>
    <t>Kalundborg Refinery</t>
  </si>
  <si>
    <t>Capture from refinery process/utility stacks; export to storage</t>
  </si>
  <si>
    <t>CCS Pool: Kredsløb seeks prequalification | Danish District Heating</t>
  </si>
  <si>
    <t>FR-011</t>
  </si>
  <si>
    <t>Yara – Le Havre Ammonia CCS</t>
  </si>
  <si>
    <t>Yara International</t>
  </si>
  <si>
    <t>CO₂ capture from ammonia production; export via Le Havre</t>
  </si>
  <si>
    <t>Le Havre , France</t>
  </si>
  <si>
    <t>Ammonia production</t>
  </si>
  <si>
    <t>initiative in the Normandy industrial basin of France</t>
  </si>
  <si>
    <t>Firms weigh Normandy CCS infrastructure project | Latest Market News</t>
  </si>
  <si>
    <t>FR-012</t>
  </si>
  <si>
    <t>Borealis Chemicals CCS</t>
  </si>
  <si>
    <t>Borealis</t>
  </si>
  <si>
    <t>CO₂ capture from chemicals/fertilizer operations; export via Le Havre</t>
  </si>
  <si>
    <t>Grand-Quevilly, France</t>
  </si>
  <si>
    <t>Chemicals production/fertiliser</t>
  </si>
  <si>
    <t>FR-013</t>
  </si>
  <si>
    <t>Gonfreville Raffinerie CCS</t>
  </si>
  <si>
    <t>TotalEnergies</t>
  </si>
  <si>
    <t>CO₂ capture from refinery/hydrogen units; export via Le Havre</t>
  </si>
  <si>
    <t>Gonfreville-l’Orcher, France</t>
  </si>
  <si>
    <t>Refinery &amp; chemicals</t>
  </si>
  <si>
    <t>Our refinery in Normandy: a new outlook | TotalEnergies.com</t>
  </si>
  <si>
    <t>FR-014</t>
  </si>
  <si>
    <t>Esso SAF CCS</t>
  </si>
  <si>
    <t>Esso SAF (ExxonMobil)</t>
  </si>
  <si>
    <t>CO₂ capture from refinery &amp; chemical units; export via Le Havre</t>
  </si>
  <si>
    <t>Notre-Dame-de-Gravenchon (Port-Jérôme), France</t>
  </si>
  <si>
    <t>Air Liquide, Borealis, Esso, TotalEnergies and Yara collaborate to help decarbonize the industrial basin of Normandy in France | ExxonMobil</t>
  </si>
  <si>
    <t>IS-004</t>
  </si>
  <si>
    <t>Grundartangi Plant</t>
  </si>
  <si>
    <t>Aker Carbon Capture, Carbfix, Elkem Iceland</t>
  </si>
  <si>
    <t>Capture from ferrosilicon plant</t>
  </si>
  <si>
    <t>Grundartangi, Iceland</t>
  </si>
  <si>
    <t>Ferrosilicon</t>
  </si>
  <si>
    <t>https://news.cision.com/aker-carbon-capture-as/r/aker-carbon-capture-and-carbfix-to-explore-ccs-at-elkem-iceland-s-grundartangi-plant,c3382946</t>
  </si>
  <si>
    <t>IT-002</t>
  </si>
  <si>
    <t>AdriatiCO2</t>
  </si>
  <si>
    <t>Marcegaglia Ravenna S.P.A.</t>
  </si>
  <si>
    <t>Co2 capture from steel processing at the Ravenna hub, using amine-based technology and BECCS integration, part of Ravenna hub</t>
  </si>
  <si>
    <t>Ravenna, Italy</t>
  </si>
  <si>
    <t>Steel</t>
  </si>
  <si>
    <t>Selected for grant preparation IF23 medium-scale, part of Ravenna hub</t>
  </si>
  <si>
    <t>https://www.confindustria.it/wcm/connect/97951023-f255-4f96-805a-1844c68869a3/Presentazione_Marcegaglia_Innovation+Fund.pdf?MOD=AJPERES&amp;CACHEID=ROOTWORKSPACE-97951023-f255-4f96-805a-1844c68869a3-piY0Stj</t>
  </si>
  <si>
    <t>LT-002</t>
  </si>
  <si>
    <t>Orlen Lietuva CCS (ECO2CEE)</t>
  </si>
  <si>
    <t>Orlen Lietuva / ORLEN / partners</t>
  </si>
  <si>
    <t>Capture at refinery / industrial emissions; transport via pipelines / rail / ships; export interconnector</t>
  </si>
  <si>
    <t>Mažeikiai, Lithuania</t>
  </si>
  <si>
    <t xml:space="preserve">Oil refining </t>
  </si>
  <si>
    <t>Prezentacja programu PowerPoint</t>
  </si>
  <si>
    <t>NL-010</t>
  </si>
  <si>
    <t>Shell Pernis CCS</t>
  </si>
  <si>
    <t>Shell</t>
  </si>
  <si>
    <t>Shell’s Pernis oil refinery in Rotterdam. The project will capture CO₂ from existing hydrogen and gasification units and route it via the Porthos</t>
  </si>
  <si>
    <t xml:space="preserve">Pernis, Netherlands </t>
  </si>
  <si>
    <t>Oil refinery</t>
  </si>
  <si>
    <t>Ecological Report Template</t>
  </si>
  <si>
    <t>NL-011</t>
  </si>
  <si>
    <t>ExxonMobil Botlek CCS</t>
  </si>
  <si>
    <t>ExxonMobil</t>
  </si>
  <si>
    <t>CO₂ capture from the ExxonMobil refinery and hydrogen units in the Botlek industrial area (Rotterdam). The captured CO₂ will be compressed and transported via the Porthos CO₂ pipeline network to offshore storage in depleted gas fields beneath the North Sea</t>
  </si>
  <si>
    <t xml:space="preserve">Unavaialbe </t>
  </si>
  <si>
    <t>https://ieaghg.org/news/ieaghg-visit-to-exxonmobil-and-porthos-co2-transport-storage-project/</t>
  </si>
  <si>
    <t>NL-012</t>
  </si>
  <si>
    <t>Yara Sluiskil</t>
  </si>
  <si>
    <t>Yara, Northern Lights</t>
  </si>
  <si>
    <t>Capture from ammonia and fertiliser plant and storage at Northern Lights</t>
  </si>
  <si>
    <t>Terneuzen, Netherlands</t>
  </si>
  <si>
    <t>Fertilisers</t>
  </si>
  <si>
    <t>https://www.yara.com/news-and-media/news/archive/news-2022/major-milestone-for-decarbonising-europe/</t>
  </si>
  <si>
    <t>NO-005</t>
  </si>
  <si>
    <t>CO2 Hub-Nord</t>
  </si>
  <si>
    <t>Elkem and partners</t>
  </si>
  <si>
    <t>Ferro-silicon, silicon, ferro-manganese, aluminium, lime, cement and steel products</t>
  </si>
  <si>
    <t>Nordland, Norway</t>
  </si>
  <si>
    <t>Ferroalloys, silicon, aluminium, lime, cement and steel</t>
  </si>
  <si>
    <t>CO2-to-methanol/geological storage</t>
  </si>
  <si>
    <t>https://climit.no/en/project/co2-hub-nordland/</t>
  </si>
  <si>
    <t>NO-006</t>
  </si>
  <si>
    <t>Sleipner</t>
  </si>
  <si>
    <t xml:space="preserve">Equinor </t>
  </si>
  <si>
    <t>Natural gas processing and offshore storage</t>
  </si>
  <si>
    <t>Natural gas processing</t>
  </si>
  <si>
    <t>Since 1996, the Sleipner field has been used as a facility for carbon capture and storage by Equinor as operator and a group of partnering companies. This is the longest ongoing project on CO2 storage in the world. Each year about 1 million tonnes CO2 from the natural gas is captured and stored at Sleipner. This has provided unique insight into what happens with carbon stored in the underground over longer periods of time.</t>
  </si>
  <si>
    <t>https://www.equinor.com/en/news/2019-06-12-sleipner-co2-storage-data.html</t>
  </si>
  <si>
    <t>NO-007</t>
  </si>
  <si>
    <t>Snohvit</t>
  </si>
  <si>
    <t>https://www.equinor.com/en/what-we-do/carbon-capture-and-storage.html</t>
  </si>
  <si>
    <t>Orlen Plock Refinery</t>
  </si>
  <si>
    <t>Orlen</t>
  </si>
  <si>
    <t>Capture from crude oil refinery for CO2 export as part of ECO2CEE. In the middle of License and
Basic Design Package (BDP) bidding process for Carbon Capture Unit.</t>
  </si>
  <si>
    <t>Plock, Poland</t>
  </si>
  <si>
    <t>Oil Refinery</t>
  </si>
  <si>
    <t>September</t>
  </si>
  <si>
    <t>https://www.energy.gov/sites/default/files/2023-08/8.%20ECO2CEE%20PKN%20ORLEN.pdf</t>
  </si>
  <si>
    <t>SE-005</t>
  </si>
  <si>
    <t>Preem CCS</t>
  </si>
  <si>
    <t>Capture from oil refinery</t>
  </si>
  <si>
    <t>Lysekil, Sweden</t>
  </si>
  <si>
    <t>https://www.sintef.no/en/latest-news/2020/new-plaunch-of-swedens-largest-carbon-capture-and-storage-plantage/</t>
  </si>
  <si>
    <t>GB-031</t>
  </si>
  <si>
    <t>South Wales Industrial Cluster (SWIC)</t>
  </si>
  <si>
    <t xml:space="preserve">RWE, Progressive Energy, Cadent, Valero, Tata Steel, BOC, South Hook, Wales &amp; West Utilities, Western Power Distribution, Rice, Flexis </t>
  </si>
  <si>
    <t>Blue hydrogen, power, steel, undetermined storage</t>
  </si>
  <si>
    <t>Steel, refinery, chemicals, cement, power - CO2 export terminal</t>
  </si>
  <si>
    <t>https://www.swic.cymru/</t>
  </si>
  <si>
    <t>GB-032</t>
  </si>
  <si>
    <t>EET Carbon Capture</t>
  </si>
  <si>
    <t>Essa Oilr, Mitsubishi Heavy Industris</t>
  </si>
  <si>
    <t>Capture from Stanlow refinery, storage as part of HyNet cluster</t>
  </si>
  <si>
    <t>Stanlow, UK</t>
  </si>
  <si>
    <t>Refinery</t>
  </si>
  <si>
    <t>https://www.mhi.com/news/23110902.html</t>
  </si>
  <si>
    <t>GB-033</t>
  </si>
  <si>
    <t>Prax Lindsay Oil Refinery</t>
  </si>
  <si>
    <t>Prax/Total</t>
  </si>
  <si>
    <t>£300 million Capture project from oil refinery, part of east coast cluster</t>
  </si>
  <si>
    <t>Lindsay, UK</t>
  </si>
  <si>
    <t>GB-034</t>
  </si>
  <si>
    <t>St Fergus Gas Terminal</t>
  </si>
  <si>
    <t>Storegga, Shell, Harbour, North Sea Midstream partners</t>
  </si>
  <si>
    <t>Capture from natural gas processing</t>
  </si>
  <si>
    <t>St. Fergus, UK</t>
  </si>
  <si>
    <t>https://www.nsenergybusiness.com/projects/acorn-carbon-capture-and-storage-project-scotland/</t>
  </si>
  <si>
    <t>GB-035</t>
  </si>
  <si>
    <t>Humber Refinery</t>
  </si>
  <si>
    <t>Phillips 66 Ltd</t>
  </si>
  <si>
    <t>Capture from FCC/olefins flue gas; ≥95% capture target. Under Humber Zero cluster</t>
  </si>
  <si>
    <t>Petrochem / Refining</t>
  </si>
  <si>
    <t>Part of the Humber Zero industrial-decarbonisation cluster. Post-combustion carbon capture from the Fluid Catalytic Cracker (FCC) flue gas</t>
  </si>
  <si>
    <t>https://www.phillips66.com/newsroom/humber-refinery-advances-carbon-capture-project/</t>
  </si>
  <si>
    <t>HR-005</t>
  </si>
  <si>
    <t>Geothermal CCS Croatia</t>
  </si>
  <si>
    <t xml:space="preserve">Hydrocarbons Agency Croatia
</t>
  </si>
  <si>
    <t>Co2 storage site powered by geothermal energy</t>
  </si>
  <si>
    <t>Bockovac, Croatia</t>
  </si>
  <si>
    <t>Storage</t>
  </si>
  <si>
    <t>DK-007</t>
  </si>
  <si>
    <t>Ruby Storage Project</t>
  </si>
  <si>
    <t>CarbonCuts (BlueNord Energy), Nordsofonden</t>
  </si>
  <si>
    <t>Onshore storage, with harbour facilities for Baltic emitters, significant storage capacity of +300MT, favourable for high injection. 1 MT/year from 2027 planned, increasing to 5-10 MT/year from 2030</t>
  </si>
  <si>
    <t>Rødby, Denmark</t>
  </si>
  <si>
    <t>5,000,000 - 10,000,000</t>
  </si>
  <si>
    <t>Anticipates injection from 2027 with an injection 
capacity of 1 million tons of CO2 per year increasing to 5-10 million tons of CO2 per year by 2030</t>
  </si>
  <si>
    <t>https://www.bluenord.com/carboncuts/</t>
  </si>
  <si>
    <t>DK-008</t>
  </si>
  <si>
    <t>CO₂ Storage Kalundborg</t>
  </si>
  <si>
    <t>Equinor LCS Denmark, Orsted, Nordsofonden 20%</t>
  </si>
  <si>
    <t>Storage licence (exploration) in Denmark, onshore, North West Zealand</t>
  </si>
  <si>
    <t>Onshore CO₂ storage pilot near Kalundborg industrial cluster; targets deep sandstone aquifer</t>
  </si>
  <si>
    <t>Equinor secures exploration permit for CO2 storage in Denmark - Equinor</t>
  </si>
  <si>
    <t>DK-009</t>
  </si>
  <si>
    <t>Greenstore (Gassum)</t>
  </si>
  <si>
    <t>Harbour Energy, INEOS Denmark, Nordsofonden 20%</t>
  </si>
  <si>
    <t>Storage licence (exploration) in Denmark, onshore Jutland (Gassum area)</t>
  </si>
  <si>
    <t>Gassum, Denmark</t>
  </si>
  <si>
    <t>First injection in 2029.The subsurface in the Greenstore licence area may have a total storage capacity of up to 250 Mt</t>
  </si>
  <si>
    <t>About Greenstore - Greenstore</t>
  </si>
  <si>
    <t>DK-010</t>
  </si>
  <si>
    <t>Thorning (Norne)</t>
  </si>
  <si>
    <t>Fidelis, Nordsofonden, Ross Energy</t>
  </si>
  <si>
    <t>Exploration licence awarded for potential CO₂ storage in the Thorning structure, Jutland onshore.</t>
  </si>
  <si>
    <t>Jutland, Denmark</t>
  </si>
  <si>
    <t>License awarded April 2025. Project of Common Interest (PCI)</t>
  </si>
  <si>
    <t>Danish Government awards Norne Thorning Storage the License to explore the possibility of CO2 storage in Jutland</t>
  </si>
  <si>
    <t>DK-011</t>
  </si>
  <si>
    <t>Bifrost</t>
  </si>
  <si>
    <t xml:space="preserve">TotalEnergies, Noreco, Nordsofonden </t>
  </si>
  <si>
    <t>Harald Field, Denmark</t>
  </si>
  <si>
    <t>The project aims to reuse existing North Sea infrastructure while demonstrating CO2 storage in a depleted offshore gas field. This will be matured towards a final investment decision (FID) if the application for funding and the following development and demonstration program proves successful.</t>
  </si>
  <si>
    <t>Denmark: TotalEnergies Obtains Two CO2 Storage Licenses in the Danish North Sea | TotalEnergies.com</t>
  </si>
  <si>
    <t>DK-012</t>
  </si>
  <si>
    <t>Project Greensand</t>
  </si>
  <si>
    <t>Harbour Energy, INEOS, SOE Nordsofonden</t>
  </si>
  <si>
    <t>Storage project</t>
  </si>
  <si>
    <t>The project has received support from the Energy Technology Development and Demonstration Program (EUDP) via the Danish Energy Agency. FID taken in Dec 2024</t>
  </si>
  <si>
    <t>https://www.dnv.com/news/dnv-certifies-first-co2-storage-site-for-flagship-danish-carbon-capture-and-storage-project/</t>
  </si>
  <si>
    <t>FR-015</t>
  </si>
  <si>
    <t>Pycasso</t>
  </si>
  <si>
    <t>Avenia, Pau Bearn Pyrenees, Repsol, Snam, Lafarge, Terega, Geostock Entrepose, Schlumberger</t>
  </si>
  <si>
    <t>Multiple industrial sources in France and Spain, including chemicals, paper, waste, cement</t>
  </si>
  <si>
    <t>Lacq, France</t>
  </si>
  <si>
    <t>https://www.pole-avenia.com/fr/article/le-pole-avenia-lance-pycasso</t>
  </si>
  <si>
    <t>GR-005</t>
  </si>
  <si>
    <t>Prinos</t>
  </si>
  <si>
    <t xml:space="preserve">Energean </t>
  </si>
  <si>
    <t>Offshore CO2 storage</t>
  </si>
  <si>
    <t>https://www.bloomberg.com/news/articles/2021-02-25/energean-plans-500-million-greek-carbon-storage-and-h2-facility</t>
  </si>
  <si>
    <t>IS-005</t>
  </si>
  <si>
    <t xml:space="preserve">Carbfix Coda Terminal </t>
  </si>
  <si>
    <t>Carbfix, Ultragas, Dan-Unity</t>
  </si>
  <si>
    <t>Captured CO2 will be transported by vessels for storage (CCS) and reuse (CCU)</t>
  </si>
  <si>
    <t>Bay of Straumsvík, Iceland</t>
  </si>
  <si>
    <t xml:space="preserve">CO2 Import terminal </t>
  </si>
  <si>
    <t>CO2 Import terminal  for Basalt storage. Selected by EU Innovation Fund</t>
  </si>
  <si>
    <t>https://www.carbfix.com/</t>
  </si>
  <si>
    <t>IT-003</t>
  </si>
  <si>
    <t>CCS Ravenna Hub</t>
  </si>
  <si>
    <t>Eni, Mitsubishi Heavy Industries (MHI)</t>
  </si>
  <si>
    <t>Carbon storage hub off the coast of Ravenna. Currently capturing from Eni's Casalborsetti natural gas plant in Ravenna, Italy, with plans for additional capacity.</t>
  </si>
  <si>
    <t>Operational at 25,000 TPA. Final phase capacity of 4 million TPA</t>
  </si>
  <si>
    <t>CO2 storage hub for refineries and power generation</t>
  </si>
  <si>
    <t>https://www.eni.com/en-IT/low-carbon/catching-co2-off-coast-ravenna.html</t>
  </si>
  <si>
    <t>NL-013</t>
  </si>
  <si>
    <t>Porthos Storage</t>
  </si>
  <si>
    <t>Port of Rotterdam, EBN, Gasunie</t>
  </si>
  <si>
    <t>P18 Offshore Gas Fields (P18-2, P18-4, P18-6)</t>
  </si>
  <si>
    <t>37 Mt total capacity</t>
  </si>
  <si>
    <t>https://www.porthosco2.nl/en/</t>
  </si>
  <si>
    <t>NL-014</t>
  </si>
  <si>
    <t>Aramis Launch Stores</t>
  </si>
  <si>
    <t>Total, Shell, EBN, Gasunie</t>
  </si>
  <si>
    <t>A CO2 transport and storage service linking Rotterdam to offshore depleted gas fields. First phase of Aramis storage; ~5 Mtpa injection into depleted offshore gas fields (split Shell/Total)</t>
  </si>
  <si>
    <t>Part of Aramis CCS Phase 1; “Launch Stores” provide ~15 years storage for captured CO₂ from Rotterdam/Eemshaven/EU industrial sources</t>
  </si>
  <si>
    <t>Aramis Launch Stores | Homepage</t>
  </si>
  <si>
    <t>NL-015</t>
  </si>
  <si>
    <t>L10 Area</t>
  </si>
  <si>
    <t>Eni</t>
  </si>
  <si>
    <t>5,000,000-8,000,000</t>
  </si>
  <si>
    <t>https://www.neptuneenergy.com/esg/l10-area-ccs-development</t>
  </si>
  <si>
    <t>NO-008</t>
  </si>
  <si>
    <t>Trudvang Storage Project</t>
  </si>
  <si>
    <t>Sval, Storegga, Neptune energy</t>
  </si>
  <si>
    <t>Capture of CO2 by multiple industrial emitters in Northern Europe and the UK to onshore receiving terminal for offshore storage</t>
  </si>
  <si>
    <t>Applied for storage license</t>
  </si>
  <si>
    <t>https://www.oedigital.com/news/503196-sval-partners-with-storegga-and-neptune-for-trudvang-offshore-co2-storage-project</t>
  </si>
  <si>
    <t>NO-009</t>
  </si>
  <si>
    <t>Havstjerne Storage Project</t>
  </si>
  <si>
    <t>Wintershall Dea, Altera</t>
  </si>
  <si>
    <t>Offshore storage in Norwegian North Sea with CO2 collected from emitters around Europe</t>
  </si>
  <si>
    <t xml:space="preserve"> 
Storage license awarded
</t>
  </si>
  <si>
    <t>https://www.offshore-energy.biz/four-out-of-six-companies-awarded-co2-storage-licenses-offshore-norway/</t>
  </si>
  <si>
    <t>NO-010</t>
  </si>
  <si>
    <t>Poseidon Storage Project</t>
  </si>
  <si>
    <t>BP, OMV Norge, Höegh LNG</t>
  </si>
  <si>
    <t xml:space="preserve">Offshore storage in Norwegian North Sea, collection of co2 from ultiple emitters in NW Europe, including Borealis’ industrial sites in Europe. </t>
  </si>
  <si>
    <t>Storage license awarded</t>
  </si>
  <si>
    <t>https://akerbp.com/en/borsmelding/aker-bp-and-omv-awarded-licence-for-co2-storage-2/</t>
  </si>
  <si>
    <t>NO-011</t>
  </si>
  <si>
    <t>Luna</t>
  </si>
  <si>
    <t>Wintershall Dea</t>
  </si>
  <si>
    <t>Storage in the Norwegian North Sea</t>
  </si>
  <si>
    <t>Licence awarded</t>
  </si>
  <si>
    <t>https://wintershalldea.com/en/newsroom/wintershall-dea-awarded-its-first-co2-licence-norway</t>
  </si>
  <si>
    <t>NO-012</t>
  </si>
  <si>
    <t>Northern Lights</t>
  </si>
  <si>
    <t>Shell, Total, Equinor, Northern Lights JV DA, Climeworks</t>
  </si>
  <si>
    <t>Multiple industrial CO2 sources , including Norcem, Fortum Oslo Varme, Borg Cluster, DMX. Northern Lights indicated in September 2024 that it would begin operations in 2025 at 1.5 MTPA</t>
  </si>
  <si>
    <t>Øygarden, Norway</t>
  </si>
  <si>
    <t xml:space="preserve">1,500,000 - 5,000,000 </t>
  </si>
  <si>
    <t xml:space="preserve">The project budget (P50) for the realisation of Hafslund Celsio’s carbon capture facility is set at NOK 8.3 billion (2024-value). The maximum cost budget (P85) is set at NOK 9.5 billion (2024-value). Through the support agreement, the Norwegian government will provide NOK 2.5 billion in investment support (Capex). Additionally, there will be support for operations, transport, and storage over ten years. Oslo municipality will invest NOK 2.6 billion directly through preference shares in Hafslund Celsio, while Hafslund Celsio will invest NOK 4.3 billion. The cost budget has increased by approximately NOK 2.1 billion (2022 kroner) since the project began in 2022, but the project has reduced costs by approximately NOK 1 billion since entering a cost-reduction phase in April 2023. </t>
  </si>
  <si>
    <t>https://northernlightsccs.com/en/about</t>
  </si>
  <si>
    <t>NO-013</t>
  </si>
  <si>
    <t>Polaris Carbon Storage Project</t>
  </si>
  <si>
    <t>Large-scale carbon storage project in the Barents Sea</t>
  </si>
  <si>
    <t>Barents Sea, Norway</t>
  </si>
  <si>
    <t>https://www.horisontenergi.no/carbon-storage/</t>
  </si>
  <si>
    <t>NO-014</t>
  </si>
  <si>
    <t>Smeaheia</t>
  </si>
  <si>
    <t>Up to 20,000,000</t>
  </si>
  <si>
    <t>https://www.equinor.com/news/archive/20220405-awarded-smeaheia-polaris-co2-licenses</t>
  </si>
  <si>
    <t>RO-001</t>
  </si>
  <si>
    <t>Fieni-Botești (Botesti storage site)</t>
  </si>
  <si>
    <t>OMV Petrom,Heidelberg Materials</t>
  </si>
  <si>
    <t>Store 0,6mtpa; depleted onshore gas reservoir</t>
  </si>
  <si>
    <t>Romania</t>
  </si>
  <si>
    <t>Fieni-Botești</t>
  </si>
  <si>
    <t xml:space="preserve">Storage </t>
  </si>
  <si>
    <t>Depleted onshore reservoir</t>
  </si>
  <si>
    <t>The Fieni-Botești project is a major initiative in the field of geological CO₂ storage in Romania. It aims to store approximately 600,000 tons of CO₂ annually in a depleted onshore gas reservoir, with a total estimated capacity of more than 10 million tons</t>
  </si>
  <si>
    <t>0638a76f-46c4-473b-8735-20ee6659287f_en</t>
  </si>
  <si>
    <t>SK-001</t>
  </si>
  <si>
    <t>Engas CCS</t>
  </si>
  <si>
    <t>Engas</t>
  </si>
  <si>
    <t>Carbon capture and storage project at Golianovo Fieldwith &gt;20 Mt mcm storage capacity, initially targeting Duslo Šaľa chemical facility</t>
  </si>
  <si>
    <t>Slovakia</t>
  </si>
  <si>
    <t>https://engas-public.s3.eu-central-1.amazonaws.com/pdf/Engas_CCS_workshop_13_06_24_EN.pdf</t>
  </si>
  <si>
    <t>ES-004</t>
  </si>
  <si>
    <t>TarraCO2-Storage</t>
  </si>
  <si>
    <t>REPSOL EXPLORACION SA</t>
  </si>
  <si>
    <t>Offshore CO₂ storage research</t>
  </si>
  <si>
    <t>Tarragona, Spain</t>
  </si>
  <si>
    <t>Selected for grant preparation IF23 large-scale</t>
  </si>
  <si>
    <t>https://climate.ec.europa.eu/eu-action/eu-funding-climate-action/innovation-fund/innovation-fund-projects_en</t>
  </si>
  <si>
    <t>GB-036</t>
  </si>
  <si>
    <t>Orion Carbon Capture and Storage</t>
  </si>
  <si>
    <t xml:space="preserve">Perenco, Carbon Catalyst </t>
  </si>
  <si>
    <t>Carbon capture and storage using decommissioned Amethyst gas field and the producing West Sole Field for permanent CO2 storage. Initially 1 Mtpa, rising to 6 Mtpa.</t>
  </si>
  <si>
    <t>Southern North Sea, UK</t>
  </si>
  <si>
    <t>1,000,000 - 6,000,000</t>
  </si>
  <si>
    <t>NSTA awarded storage licenses for both storage sites</t>
  </si>
  <si>
    <t>https://www.offshore-mag.com/regional-reports/north-sea-europe/article/14297839/nsta-green-lights-north-sea-orion-carbon-capture-project</t>
  </si>
  <si>
    <t>GB-037</t>
  </si>
  <si>
    <t>Spirit Energy CCUS hub</t>
  </si>
  <si>
    <t xml:space="preserve">Spirit Energy (Centrica and Stadtwerke Mucnchen GmbH joint venture)
</t>
  </si>
  <si>
    <t>CO2 storage hub in the depleted South Morecambe and North Morecambe gas fields</t>
  </si>
  <si>
    <t>Morecambe, UK</t>
  </si>
  <si>
    <t>https://www.spirit-energy.com/newsroom/press-releases/spirit-energy-launches-plan-for-carbon-storage-cluster/</t>
  </si>
  <si>
    <t>GB-038</t>
  </si>
  <si>
    <t>Acorn storage site</t>
  </si>
  <si>
    <t>Storegga, Chrysaor, Shell, Total, UK Government, Scottish Government, Exxon</t>
  </si>
  <si>
    <t>Dedicated storage site for Scottish Cluster</t>
  </si>
  <si>
    <t>https://theacornproject.uk/</t>
  </si>
  <si>
    <t>GB-039</t>
  </si>
  <si>
    <t>Hewett Storage Site</t>
  </si>
  <si>
    <t>ENI, Fluxys, Interconnector, Enfinium, SUMMIT, SSE Thermal, North London Waste Authority, Cadent, CORY, MVV, Progressive Energy</t>
  </si>
  <si>
    <t>Dedicated storage site for Bacton Thames Net Zero</t>
  </si>
  <si>
    <t>Bacton, UK</t>
  </si>
  <si>
    <t xml:space="preserve">Storage for Bacton Thames NetZero and potentially international. </t>
  </si>
  <si>
    <t>https://www.eni.com/static/bactonthamesnetzero/#:~:text=Bacton%20Thames%20Net%20Zero%20(BTNZ,the%20Bacton%20and%20Thames%20regions.</t>
  </si>
  <si>
    <t>GB-040</t>
  </si>
  <si>
    <t>Northern Endurance Partnership</t>
  </si>
  <si>
    <t>BP, Eni, Equinor, National Grid, Shell, TotalEnergies</t>
  </si>
  <si>
    <t xml:space="preserve">Storage for Zero Carbon Humber and Net-Zero Teeside </t>
  </si>
  <si>
    <t>NEP has submitted a bid for funding through Phase 2 of the UK Government’s Industrial Decarbonisation Challenge. FID taken in Dec 2024. Storage for Net Zero Teesside and Zero Carbon Humber</t>
  </si>
  <si>
    <t>https://northernendurancepartnership.co.uk/2024/12/10/northern-endurance-partnership-greenlights-uks-first-co2-transportation-and-storage-infrastructure-project/</t>
  </si>
  <si>
    <t>GB-041</t>
  </si>
  <si>
    <t>Viking CCS Storage Site</t>
  </si>
  <si>
    <t>Harbour Energy</t>
  </si>
  <si>
    <t>Offshore storage in depleted gas fields</t>
  </si>
  <si>
    <t>https://www.vikingccs.co.uk/</t>
  </si>
  <si>
    <t>BE-007</t>
  </si>
  <si>
    <t>Antwerp@C CO₂ Export Hub</t>
  </si>
  <si>
    <t>Air Liquide, BASF, Borealis, ExxonMobil, INEOS, TotalEnergies, Fluxys, Port of Antwerp-Bruges</t>
  </si>
  <si>
    <t>Port. CO₂ export hub: liquefaction, buffer storage, ship loading; linked to offshore storage</t>
  </si>
  <si>
    <t>Transport Hub</t>
  </si>
  <si>
    <t>CO₂ Export Terminal (Port)</t>
  </si>
  <si>
    <t>Liquefaction, buffer storage, and ship export of CO₂ to offshore storage. Initial capacity ~2.5 Mt/yr; scalable to ~10 Mt/yr by 2030; CEF-E funded</t>
  </si>
  <si>
    <t>https://www.fluxys.com/en/projects/antwerp-export-hub?</t>
  </si>
  <si>
    <t>BE-008</t>
  </si>
  <si>
    <t>CO₂ Hub in Zeebrugge</t>
  </si>
  <si>
    <t>Fluxys, Equinor</t>
  </si>
  <si>
    <t>Pipeline to Norway and Bacton UK.</t>
  </si>
  <si>
    <t>Zeebrugge, Belgium</t>
  </si>
  <si>
    <t>CO₂ Export via Pipeline</t>
  </si>
  <si>
    <t>20000000 - 40000000</t>
  </si>
  <si>
    <t>1,000 km CO2 export trunkline operated by Equino. Fluxys’ to operate onshore network at Zeebrugge</t>
  </si>
  <si>
    <t>BE-009</t>
  </si>
  <si>
    <t>Ghent Carbon Hub</t>
  </si>
  <si>
    <t>Fluxys; ArcelorMittal Belgium; North Sea Port</t>
  </si>
  <si>
    <t>Hub terminal: CO₂ liquefaction, buffer storage, shipping to storage or CCU</t>
  </si>
  <si>
    <t>Ghent, North Sea Port, Belgium</t>
  </si>
  <si>
    <t>Open-access liquefaction + storage tanks (buffer) + ship loading. €9.6 m CEF-E for studies.</t>
  </si>
  <si>
    <t>https://www.fluxys.com/en/press-releases/fluxys-group/2022/220818_press_ghent_carbon_hub?</t>
  </si>
  <si>
    <t>DK-013</t>
  </si>
  <si>
    <t>Port of Aalborg CO₂ Terminal</t>
  </si>
  <si>
    <t>Fidelis (Norne), Gas Storage Denmark (GSD), Port of Aalborg</t>
  </si>
  <si>
    <t>Import/export terminal for LCO₂. Storage Norne (Fyrkat)</t>
  </si>
  <si>
    <t>Aalborg, Denmark</t>
  </si>
  <si>
    <t>CO₂ Export/Import Terminal (Port)</t>
  </si>
  <si>
    <t>Export interface to Norne storage</t>
  </si>
  <si>
    <t>Import/export terminal for LCO₂</t>
  </si>
  <si>
    <t>https://portofaalborg.dk/en/norne-and-port-of-aalborg-sign-30-year-exclusive-agreement-accept-eu-cef-grant-and-launch-construction-of-co2-hub/</t>
  </si>
  <si>
    <t>DK-014</t>
  </si>
  <si>
    <t>Port of Esbjerg – Greensand CO₂ Transit Terminal</t>
  </si>
  <si>
    <t>INEOS Energy; Port of Esbjerg; Greensand partners ; Royal Wagenborg</t>
  </si>
  <si>
    <t>Onshore LCO₂ export terminal with buffer tanks and ship-loading to offshore storage - Greensand and Bifrost.</t>
  </si>
  <si>
    <t>Port of Esbjerg, Denmark</t>
  </si>
  <si>
    <t>Onshore LCO₂ export terminal with buffer tanks and ship-loading to offshore storage</t>
  </si>
  <si>
    <t>https://www.ineos.com/news/shared-news/construction-begins-on-greensands-co-transit-terminal-at-port-esbjerg.-the-first-gateway-for-carbon-storage-in-the-eu/</t>
  </si>
  <si>
    <t>DK-015</t>
  </si>
  <si>
    <t>Hirtshals (Greenport Scandinavia)</t>
  </si>
  <si>
    <t>Wintershall Dea, Evida, INEOS Energy, Port of Hirtshals, Biocarb Solution, Greenport NorthP/S</t>
  </si>
  <si>
    <t>Port of Hirtshals, North Jutland, Denmark</t>
  </si>
  <si>
    <t xml:space="preserve"> Onshore LCO₂ export terminal with buffer tanks and ship-loading to offshore storage</t>
  </si>
  <si>
    <t>https://greenportscandinavia.com/</t>
  </si>
  <si>
    <t>DK-016</t>
  </si>
  <si>
    <t>Port of Kalundborg CO₂ Terminal</t>
  </si>
  <si>
    <t>Fidelis; GSD; Capio Danmark</t>
  </si>
  <si>
    <t>Import/export terminal for LCO₂. Storage Norne (Trelleborg).</t>
  </si>
  <si>
    <t>CO₂ Import/Export Terminal (Port)</t>
  </si>
  <si>
    <t>Hub for both import and export of liquefied CO₂</t>
  </si>
  <si>
    <t>PowerPoint Presentation</t>
  </si>
  <si>
    <t>FR-016</t>
  </si>
  <si>
    <t>Le Havre CO₂ Export Terminal &amp; Hub Infrastructure</t>
  </si>
  <si>
    <t>Air Liquide; Borealis; Esso SAF (ExxonMobil); TotalEnergies; Yara , HAROPA Port</t>
  </si>
  <si>
    <t>Liquefaction and loading terminal to export captured CO₂ from Normandy basin to North Sea storage</t>
  </si>
  <si>
    <t>Le Havre, Normandy, France</t>
  </si>
  <si>
    <t>Export hub for Normandy Basin emitters sending CO₂ offshore.</t>
  </si>
  <si>
    <t>Le consortium ECO2-Normandy est rejoint par Haropa Port pour contribuer à la décarbonation du bassin industriel normand</t>
  </si>
  <si>
    <t>FR-017</t>
  </si>
  <si>
    <t>D’Artagnan Dunkirk CO₂ Hub</t>
  </si>
  <si>
    <t>Dunkerque LNG; Air Liquide; industrial emitters</t>
  </si>
  <si>
    <t>CO₂ terminal with liquefaction, pipeline network and ship export</t>
  </si>
  <si>
    <t xml:space="preserve">CO₂ Export Terminal </t>
  </si>
  <si>
    <t>Export hub with liquefaction and ship/pipeline connections. Phase 1 ~1.5 Mtpa; scalable pathway toward ~10 Mtpa</t>
  </si>
  <si>
    <t>https://www.airliquide.com/group/press-releases-news/2024-06-18/decarbonization-dunkirk-basin-air-liquide-and-dunkerque-lng-co2-infrastructure-project-takes-major</t>
  </si>
  <si>
    <t>FR-018</t>
  </si>
  <si>
    <t>Rhône CO₂ Terminal</t>
  </si>
  <si>
    <t>Elengy,SPSE</t>
  </si>
  <si>
    <t>CO₂ captured in Rhône valley; liquefaction &amp; export via Fos Tonkin (Fos-sur-Mer) to offshore storag</t>
  </si>
  <si>
    <t>Fos-sur-Mer, France</t>
  </si>
  <si>
    <t>Rhône CO2 | Elengy</t>
  </si>
  <si>
    <t>FR-019</t>
  </si>
  <si>
    <t>GOCO₂ Montoir-de-Bretagne/St Nazaire Terminal</t>
  </si>
  <si>
    <t>Elengy, Grand Port Maritime de Nantes Saint-Nazaire</t>
  </si>
  <si>
    <t>Liquefy and store CO₂ on-site. Load liquefied CO₂ (LCO₂) onto ships for export to offshore storage sites</t>
  </si>
  <si>
    <t>Saint-Nazaire, France</t>
  </si>
  <si>
    <t>GOCO2 Project - Sofregaz</t>
  </si>
  <si>
    <t>FR-020</t>
  </si>
  <si>
    <t>PYCASSO – Bayonne Node Terminal</t>
  </si>
  <si>
    <t>Teréga, Lafarge France</t>
  </si>
  <si>
    <t>Export to offshore storage PYCASSO</t>
  </si>
  <si>
    <t>Bayonne, France</t>
  </si>
  <si>
    <t>PYCASSO project</t>
  </si>
  <si>
    <t>FR-021</t>
  </si>
  <si>
    <t>Port-La-Nouvelle Hydrogen &amp; CO₂ Hub</t>
  </si>
  <si>
    <t>Port-La-Nouvelle Hydrogen &amp; CO₂ Hu</t>
  </si>
  <si>
    <t>Port-La-Nouvelle, France</t>
  </si>
  <si>
    <t>CO₂ and Hydrogen Import/Export Terminal (Port)</t>
  </si>
  <si>
    <t>Port La Nouvelle : un hub pour l’hydrogène et le CO2 - Ports et corridors</t>
  </si>
  <si>
    <t>DE-009</t>
  </si>
  <si>
    <t>CO2NNECTNOW</t>
  </si>
  <si>
    <t>Wintershall Dea, HES Wilhelmshaven Tank Terminal</t>
  </si>
  <si>
    <t>CO2 export terminal</t>
  </si>
  <si>
    <t>CO2 Export terminal (Port)</t>
  </si>
  <si>
    <t>https://storageterminalsmag.com/wintershall-dea-and-hes-wilhelmshaven-tank-terminal-sign-mou-to-develop-a-co%E2%82%82-hub/</t>
  </si>
  <si>
    <t>DE-010</t>
  </si>
  <si>
    <t>Bremerhaven CO₂ Terminal (Ambrian Energy, Messer)</t>
  </si>
  <si>
    <t>Ambrian Energy; Messer; bremenports</t>
  </si>
  <si>
    <t>LCO₂ import/export terminal; pre-FEED completed</t>
  </si>
  <si>
    <t>Bremerhaven, Germany</t>
  </si>
  <si>
    <t>Ambrian Energy - CO2 terminal planned in Bremen - tankstelle Magazin</t>
  </si>
  <si>
    <t>DE-011</t>
  </si>
  <si>
    <t>Brunsbüttel Terminal</t>
  </si>
  <si>
    <t>Holcim, OGE</t>
  </si>
  <si>
    <t>Pipeline from Holcim Lägerdorf (~1.2 Mt/y) to port for CCU/CCS export</t>
  </si>
  <si>
    <t>Brunsbüttel, Germany</t>
  </si>
  <si>
    <t>Brunsbüttel Ports are 'essential pillar' for Germany's energy supply security - Offshore Energy</t>
  </si>
  <si>
    <t>DE-012</t>
  </si>
  <si>
    <t>H2GE Rostock Hydrogen &amp; CO₂</t>
  </si>
  <si>
    <t>VNG AG, Equinor ASA</t>
  </si>
  <si>
    <t>Blue H₂ with CO₂ capture; export by ship</t>
  </si>
  <si>
    <t>CO₂ and Hydrogen Export Terminal (Port)</t>
  </si>
  <si>
    <t>H2GE Rostock - the energy hub in eastern Germany | Wasserstoff Region Ostdeutschland</t>
  </si>
  <si>
    <t>GR-006</t>
  </si>
  <si>
    <t>APOLLOCO2-LT</t>
  </si>
  <si>
    <t>DESFA</t>
  </si>
  <si>
    <t xml:space="preserve">liquefaction export terminal, comprising of an onshore and offshore unit, and 
offer temporary storage before its transportation to permanent storage sites.
</t>
  </si>
  <si>
    <t>Attica, Greece</t>
  </si>
  <si>
    <t>IF24Call - Invited to grant agreement preparation. an open-access CCS hub in South-Eastern Europe, featuring a liquefaction export terminal, comprising of an onshore and offshore unit, and offer temporary storage before its transportation to permanent storage sites</t>
  </si>
  <si>
    <t>GR-007</t>
  </si>
  <si>
    <t>Kavala Prinos Sigma CO₂ Terminal</t>
  </si>
  <si>
    <t>Energean</t>
  </si>
  <si>
    <t>Onshore Sigma facility retrofitted for CO₂ reception. Storage Prinos</t>
  </si>
  <si>
    <t>Kavala , Greece</t>
  </si>
  <si>
    <t>CO₂ Import Terminal (Port)</t>
  </si>
  <si>
    <t>Depleted Oil Field</t>
  </si>
  <si>
    <t>Injection to Prinos offshore storage (Phase 1 (2025–2028): 1 Mtpa, Phase 2 from Dec 2027: ~3 Mtpa)</t>
  </si>
  <si>
    <t>https://www.iene.eu/articlefiles/inline/sardi%20-%2014th%20seeed.pdf</t>
  </si>
  <si>
    <t>IT-004</t>
  </si>
  <si>
    <t>Ravenna CCS Terminal (Porto Corsini)</t>
  </si>
  <si>
    <t>Eni; Snam</t>
  </si>
  <si>
    <t>Receives onshore CO₂; compresses &amp; sends offshore to depleted gas fields. Storage Ravenna</t>
  </si>
  <si>
    <t>Porto Corsini, Italy</t>
  </si>
  <si>
    <t>CO₂ Import Terminal</t>
  </si>
  <si>
    <t>Phase 1 capture ~0.25 Mtpa</t>
  </si>
  <si>
    <t>Eni and Snam launch Ravenna CCS, Italy’s first Carbon Capture and Storage project</t>
  </si>
  <si>
    <t>LT-003</t>
  </si>
  <si>
    <t>Klaipėda Terminal (CCS Baltic CO₂ Export Hub )</t>
  </si>
  <si>
    <t>Klaipėdos Nafta AB; SCHWENK Latvija; Heidelberg Materials Lietuva; Yara; Mitsui O.S.K. Lines; CCS Baltic Consortium</t>
  </si>
  <si>
    <t>Liquefaction and shipping terminal aggregating CO₂ from Latvian and Lithuanian emitters for export to permanent offshore storage</t>
  </si>
  <si>
    <t>Klaipėda, Lithuania</t>
  </si>
  <si>
    <t>PCI-listed EU cross-border project; regional hub for LV/LT emitters</t>
  </si>
  <si>
    <t>What will be the size of Klaipėda CO2 Terminal?</t>
  </si>
  <si>
    <t>NL-016</t>
  </si>
  <si>
    <t>Eemshaven Port Terminal (NoordKaap)</t>
  </si>
  <si>
    <t xml:space="preserve">Cape Omega, Neptune Energy
</t>
  </si>
  <si>
    <t>CO2 collection and export hub</t>
  </si>
  <si>
    <t>CO2 Export terminal</t>
  </si>
  <si>
    <t>Part of NoordKaap project (phase 1), offshore storage in Dutch and Norwegian continental shelfs</t>
  </si>
  <si>
    <t>NL-017</t>
  </si>
  <si>
    <t>CO₂next (Maasvlakte)</t>
  </si>
  <si>
    <t>Gasunie, Vopak, Shell, TotalEnergies</t>
  </si>
  <si>
    <t>Receives CO₂ by ship/pipeline, buffers &amp; compresses for offshore storage. Storage Aramis</t>
  </si>
  <si>
    <t>part of EU PCI list</t>
  </si>
  <si>
    <t>News : CO2next project achieves important milestones for developing crucial CO2 infrastructure in Rotterdam | Royal Vopak</t>
  </si>
  <si>
    <t>ECO2CEE</t>
  </si>
  <si>
    <t>Gdańsk, Poland</t>
  </si>
  <si>
    <t>Poland EU CCS interconnector has an ambition to establish an open access multi-modal CO2 Export Hub from Gdansk and its hinterland. The project objective is to connect the main industrial CO2 emitters in Gdańsk and hinterland to the CCS chain (under development in the North Sea) for permanent storage. he project is scheduled to transport 2.7M Ton of CO2 per year between 2025-2030 period reaching 8.7M Ton of CO2 between 2030-2035</t>
  </si>
  <si>
    <t>https://ec.europa.eu/energy/sites/default/files/detailed_information_regarding_the_candidate_projects_in_co2_network.pdf</t>
  </si>
  <si>
    <t>SE-006</t>
  </si>
  <si>
    <t>CinfraCap Terminal (Port of Gothenburg)</t>
  </si>
  <si>
    <t>Göteborg Energi, Preem, St1, Equinor, Perstorp, Nordion Energi</t>
  </si>
  <si>
    <t>CO₂ export terminal with liquefaction &amp; shipping</t>
  </si>
  <si>
    <t>Gothenburg, Sweden</t>
  </si>
  <si>
    <t>Often linked with Northern Lights &amp; Porthos</t>
  </si>
  <si>
    <t>Stockholm Norvik Port aims to become CCS node - Port Technology International</t>
  </si>
  <si>
    <t>SE-007</t>
  </si>
  <si>
    <t>Norvik CCS East (NICE Terminal)</t>
  </si>
  <si>
    <t>Stockholm Exergi, Ports of Stockholm, SE partners</t>
  </si>
  <si>
    <t>CO₂ import/export terminal (planned 1–2 Mtpa)</t>
  </si>
  <si>
    <t>Norvik Port, Nynäshamn, Sweden</t>
  </si>
  <si>
    <t>Planned hub for East Sweden CCS exports</t>
  </si>
  <si>
    <t>https://www.portsofstockholm.com/</t>
  </si>
  <si>
    <t>GB-042</t>
  </si>
  <si>
    <t>Bacton Thames Net Zero</t>
  </si>
  <si>
    <t xml:space="preserve">Capture from industry, power, waste-to-energy, and hydrogen production, storage in Hewett Gas Field. </t>
  </si>
  <si>
    <t>London, UK</t>
  </si>
  <si>
    <t xml:space="preserve">CO₂ Import/Export Terminal </t>
  </si>
  <si>
    <t>This project plans for international transport of CO2 and Hydrogen to/from Zeebrugge, Belgium. *replaced CORY CCS entry.</t>
  </si>
  <si>
    <t>GB-043</t>
  </si>
  <si>
    <t>Milford Haven CO₂ Project</t>
  </si>
  <si>
    <t>RWE (Pembroke Net Zero Centre); Dragon LNG</t>
  </si>
  <si>
    <t>Capture at Pembroke; liquefaction &amp; ship-loading at Dragon LNG; ship to North Sea</t>
  </si>
  <si>
    <t>Milford Haven, Pembrokeshire, UK</t>
  </si>
  <si>
    <t>https://www.celticfreeport.wales/milford-haven-co%e2%82%82-project-takes-shape/#:~:text=Celtic%20Freeport%20partners%20%E2%80%93%20RWE%20and%20Dragon%20LNG,CO%E2%82%82%20from%20the%20Dragon%20site%20via%20non-pipeline%20transport.</t>
  </si>
  <si>
    <t>Milford Haven CO₂ Project Launches at The Senedd, Marking a Major Step Toward Net Zero</t>
  </si>
  <si>
    <t>GB-044</t>
  </si>
  <si>
    <t>Sullum Voe CO₂</t>
  </si>
  <si>
    <t>EnQuest plc; Veri Energy Ltd</t>
  </si>
  <si>
    <t>Repurposing the Sullom Voe Terminal (Shetland) into a CO₂ import, handling, and injection hub - EnQuest Veri Storage</t>
  </si>
  <si>
    <t>Sullom Voe Terminal, Shetland Islands, Scotland, UK</t>
  </si>
  <si>
    <t>https://www.offshore-mag.com/renewable-energy/article/14282260/enquest-eyes-carbon-storage-green-hydrogen-production-at-shetland-faciliies</t>
  </si>
  <si>
    <t>Carbon Storage – Veri Energy</t>
  </si>
  <si>
    <t>GB-045</t>
  </si>
  <si>
    <t>Port of Immingham - Humber CO₂ Terminal</t>
  </si>
  <si>
    <t>Harbour Energy (Viking CCS); BP (Northern Endurance Partnership); VPI Immingham; Phillips 66; Uniper</t>
  </si>
  <si>
    <t>Capture and export of CO₂ from Humber industries to Endurance and Viking offshore storage sites via port and pipeline network.</t>
  </si>
  <si>
    <t>Port of Immingham, UK</t>
  </si>
  <si>
    <t>CO₂ Export Terminal</t>
  </si>
  <si>
    <t>https://www.offshore-energy.biz/port-of-immingham-to-get-co%e2%82%82-import-terminal/#:~:text=The%20Associated%20British%20Ports%20%28ABP%29%20has%20entered%20into,of%20Immingham%2C%20the%20UK%E2%80%99s%20largest%20port%20by%20tonnage.</t>
  </si>
  <si>
    <t>GB-046</t>
  </si>
  <si>
    <t>Peterhead CO₂ Import Terminal (Peterhead Port)</t>
  </si>
  <si>
    <t>SSE Thermal, Equinor (Acron), Peterhead Port Authority</t>
  </si>
  <si>
    <t>3-2 Tom Snow Peterhead Carbon Capture Project and the Scottish Cluster.pdf</t>
  </si>
  <si>
    <t>GB-047</t>
  </si>
  <si>
    <t>Port Talbot CO₂ Terminal (South Wales)</t>
  </si>
  <si>
    <t>Tata Steel UK; Associated British Ports (Port Talbot)</t>
  </si>
  <si>
    <t>Port Talbot, Wales, UK</t>
  </si>
  <si>
    <t>DK-017</t>
  </si>
  <si>
    <t>Kredsløb Energipark Lisbjerg CCS</t>
  </si>
  <si>
    <t>Kredsløb Holding A/S</t>
  </si>
  <si>
    <t>Capture at Aarhus waste-to-energy facility</t>
  </si>
  <si>
    <t>Aarhus (Lisbjerg), Denmark</t>
  </si>
  <si>
    <t>Waste-to-Energy</t>
  </si>
  <si>
    <t>Possible to capture and store 0,2 Mtpa by 2030. This corresponds to about one-third of the refinery’s current emissions – with potential for even more capture and storage after 2030.</t>
  </si>
  <si>
    <t>https://www.kalundborgrefinery.com/refinery-of-the-future/</t>
  </si>
  <si>
    <t>DK-018</t>
  </si>
  <si>
    <t>Fortum Waste Solutions Nyborg CCS</t>
  </si>
  <si>
    <t>Fortum; Aker Carbon Capture (study)</t>
  </si>
  <si>
    <t>Capture at hazardous waste incineration plant</t>
  </si>
  <si>
    <t>Nyborg, Denmark</t>
  </si>
  <si>
    <t>Only 10 were allowed – District Heating Fyn is in the fight for millions for CO₂ capture | District Heating Funen</t>
  </si>
  <si>
    <t>DK-019</t>
  </si>
  <si>
    <t xml:space="preserve">A2X CCS Esbjerg </t>
  </si>
  <si>
    <t>Energnist; Terotech, SubC Partner</t>
  </si>
  <si>
    <t>WtE post-combustion capture at Energnist Esbjerg; CO₂ conditioning, liquefaction &amp; temporary storage at Port of Esbjerg; export to offshore storage (Greensand)</t>
  </si>
  <si>
    <t>Esbjerg, Denmark</t>
  </si>
  <si>
    <t>DEA prequalification confirmed; LOI signed with DIN Forsyning &amp; Port Esbjerg; includes pipeline to port + liquefaction &amp; temp storage</t>
  </si>
  <si>
    <t>Stort CO2-fangst anlæg i Esbjerg · Energnist</t>
  </si>
  <si>
    <t>DK-020</t>
  </si>
  <si>
    <t xml:space="preserve">AffaldPlus CCS </t>
  </si>
  <si>
    <t>AffaldPlus, European Energy, Ammongas, and CarbonCuts</t>
  </si>
  <si>
    <t>Capture from WtE flue gas at Næstved; export to offshore storage</t>
  </si>
  <si>
    <t>Næstved, Denmark</t>
  </si>
  <si>
    <t>Prequalified by DEA CCS Fund; full-scale</t>
  </si>
  <si>
    <t>AffaldPlus prequalified for CCS pool: A green breakthrough for the province | AffaldPlus</t>
  </si>
  <si>
    <t>DK-021</t>
  </si>
  <si>
    <t>ARC Amager Bakke CCS (CopenCapture)</t>
  </si>
  <si>
    <t>E.ON Carbon Capture Solutions Copenhagen; ARC</t>
  </si>
  <si>
    <t>C4. CCS at Amager Bakke / CopenHill waste-to-energy CHP facility</t>
  </si>
  <si>
    <t>Agreement signed March 2025; part of Danish CCS tender (full capture by 2030). Builds on ARC’s 2020 IF proposal (not awarded).</t>
  </si>
  <si>
    <t>E.ON / ARC CopenCapture announcement, Mar 2025</t>
  </si>
  <si>
    <t>E.ON Launches New Carbon Capture Project In Denmark</t>
  </si>
  <si>
    <t>DK-022</t>
  </si>
  <si>
    <t>Vestforbrænding Ejby Glostrup CCS</t>
  </si>
  <si>
    <t>Vestforbrænding; Technip; CIP</t>
  </si>
  <si>
    <t>C4. CCS at Vestforbrænding WtE facility in Glostrup</t>
  </si>
  <si>
    <t>Glostrup, Denmark</t>
  </si>
  <si>
    <t>Received feasibility/FEED support from Danish Energy Agency. FEED with Technip Energies for</t>
  </si>
  <si>
    <t>CIP and Vestforbrænding to partner up on CCS | Tanks and Terminals</t>
  </si>
  <si>
    <t>DK-023</t>
  </si>
  <si>
    <t>ARGO CCS</t>
  </si>
  <si>
    <t>ARGO</t>
  </si>
  <si>
    <t>C4. CCS at ARGO waste-to-energy plant</t>
  </si>
  <si>
    <t>Roskilde area (Zealand), Denmark</t>
  </si>
  <si>
    <t>ARGO takes another important step towards carbon capture in Roskilde - ARGO</t>
  </si>
  <si>
    <t>DK-024</t>
  </si>
  <si>
    <t>BIOFOS CCS (WWTP)</t>
  </si>
  <si>
    <t>BIOFOS</t>
  </si>
  <si>
    <t>C4. CCS at BIOFOS wastewater treatment facilities (sludge incineration)</t>
  </si>
  <si>
    <t>Bio-CCS from sludge incineration at wastewater facilities; first of its kind in Denmark</t>
  </si>
  <si>
    <t>Sustainability steers innovation at Copenhagen’s wastewater treatment plants - Kemira</t>
  </si>
  <si>
    <t>IT-005</t>
  </si>
  <si>
    <t>Captureste Ferrara WtE</t>
  </si>
  <si>
    <t>Herambiente</t>
  </si>
  <si>
    <t>Capture from waste-to-energy plant</t>
  </si>
  <si>
    <t>Ferrara, Italy</t>
  </si>
  <si>
    <t>IF 23 Invited for grant preparation</t>
  </si>
  <si>
    <t>NL-018</t>
  </si>
  <si>
    <t>AEB Amsterdam</t>
  </si>
  <si>
    <t>AEB, Gementee Amsterdam</t>
  </si>
  <si>
    <t>Amsterdam, Netherlands</t>
  </si>
  <si>
    <t>Waste-to-Energy </t>
  </si>
  <si>
    <t>Awarded SDE++ subsidy for a maximum annual amount of 80 million euros in averted CO2 emissions.</t>
  </si>
  <si>
    <t>https://www.aebamsterdam.com/technology/</t>
  </si>
  <si>
    <t>NL-019</t>
  </si>
  <si>
    <t>Attero BECCS Project</t>
  </si>
  <si>
    <t>Attero</t>
  </si>
  <si>
    <t>BECCS solution capturing CO₂ from waste-to-energy facilities in Moerdijk; CO₂ is liquefied, transported by ship to the CO₂next terminal at Maasvlakte, then piped to depleted gas fields beneath the North Sea for permanent storage with certified removal credits to be issued for biogenic share</t>
  </si>
  <si>
    <t>Moerdijk, Netherlands</t>
  </si>
  <si>
    <t>Selected by SDE++, plannign to put carbon removal credits on sale in 2029</t>
  </si>
  <si>
    <t>https://www.attero.nl/en/purchasing-products/energy-and-co2/carbon-dioxide-removal-certificates/</t>
  </si>
  <si>
    <t>NL-020</t>
  </si>
  <si>
    <t>Alkmaar Wte</t>
  </si>
  <si>
    <t>HVC</t>
  </si>
  <si>
    <t xml:space="preserve">Capture 50,000 tpa CO₂ from EfW plant’s fourth line and/or biomass-fired facility. Currently operating small scale pilot capture at facility supported by government grant. </t>
  </si>
  <si>
    <t>Alkmaar, Netherlands</t>
  </si>
  <si>
    <t>SDE++ Applicant</t>
  </si>
  <si>
    <t>https://www.endswasteandbioenergy.com/article/1802553/hvc-plans-carbon-capture-alkmaar-efw-and-or-biomass-fired-plants</t>
  </si>
  <si>
    <t>NO-015</t>
  </si>
  <si>
    <t>Borg CO2</t>
  </si>
  <si>
    <t>Borg Havn, FREVAR KF, NORSUS, Kvitebjørn Bio-El, Fortum Oslo Varme, EGE Oslo, Stormkast Utvikling, Equinor, IFE, CO2 Capsol, Borregaard, Acinor, Compact Carbon Capture, Biobe, Norske Skog Saugbrugs, Østfold Energi, Geminor and Sarpsborg Avfallsenergi</t>
  </si>
  <si>
    <t>Capture from industrial sources for export from the port of Frederikstad</t>
  </si>
  <si>
    <t>Fredrikstad, Sarpborg, Halden, Norway</t>
  </si>
  <si>
    <t>Waste-to-energy, biomass heat and power, biorefining</t>
  </si>
  <si>
    <t>https://northernlightsccs.com/news/collaboration-with-borg-co2-on-carbon-capture-and-storage/</t>
  </si>
  <si>
    <t>NO-016</t>
  </si>
  <si>
    <t>Klemetsrud WtE</t>
  </si>
  <si>
    <t>Hafslund Oslo Celsio</t>
  </si>
  <si>
    <t>Storage via Northern Lights</t>
  </si>
  <si>
    <t>Oslo, Norway</t>
  </si>
  <si>
    <t>FID taken in Jan 2025, expected to be operational in Q3 of 2029</t>
  </si>
  <si>
    <t>https://kommunikasjon.ntb.no/pressemelding/18397537/carbon-capture-in-oslo-becomes-a-reality?publisherId=17848223&amp;lang=en</t>
  </si>
  <si>
    <t>NO-017</t>
  </si>
  <si>
    <t>Lyse Energigjenvinning</t>
  </si>
  <si>
    <t>Aker Carbon Capture, Lyse, Forus Energi</t>
  </si>
  <si>
    <t>Capture from waste-to-energy</t>
  </si>
  <si>
    <t>Sandnes, Norway</t>
  </si>
  <si>
    <t>https://news.cision.com/aker-carbon-capture-as/r/aker-carbon-capture-signs-mou-with-lyse-and-forus-energi-to-explore-ccs-opportunities-in-southwest-n,c3296953</t>
  </si>
  <si>
    <t>NO-018</t>
  </si>
  <si>
    <t>Statkraft Heimdal (Trondheim)</t>
  </si>
  <si>
    <t xml:space="preserve">Statkraft </t>
  </si>
  <si>
    <t>Capture from waste-to-energy, liquid CO2 will be transported by truck to an export terminal with subsequent ship transport to permanent storage.</t>
  </si>
  <si>
    <t>Trondheim, Norway</t>
  </si>
  <si>
    <t>https://www.gasworld.com/story/aker-carbon-capture-awarded-pre-feed-for-waste-to-energy-plant/2136789.article/</t>
  </si>
  <si>
    <t>NO-019</t>
  </si>
  <si>
    <t>Kvitebjorn Varme Tromso</t>
  </si>
  <si>
    <t>Kvitebjorn</t>
  </si>
  <si>
    <t>Tromso, Norway</t>
  </si>
  <si>
    <t>SE-008</t>
  </si>
  <si>
    <t>Gärstaverket in Linköping energy-from-waste plant</t>
  </si>
  <si>
    <t>Tekniska Verken, Capsol</t>
  </si>
  <si>
    <t>Feasibility study for carbon capture at a waste-to-power facility.</t>
  </si>
  <si>
    <t>Linköping, Sweden</t>
  </si>
  <si>
    <t>https://www.industryandenergy.eu/ccus/capsol-technologies-secures-carbon-capture-deal-at-garstaverket/</t>
  </si>
  <si>
    <t>SE-009</t>
  </si>
  <si>
    <t>Vattenfall Uppsala</t>
  </si>
  <si>
    <t xml:space="preserve">Aker Carbon Capture, Vattenfall </t>
  </si>
  <si>
    <t>Uppsala, Sweden</t>
  </si>
  <si>
    <t xml:space="preserve">Supported by Swedish Energy Agency </t>
  </si>
  <si>
    <t>https://cie.uu.se/bygg/press-och-nyheter/nyheter/nyhet/?tarContentId=893128</t>
  </si>
  <si>
    <t>SE-010</t>
  </si>
  <si>
    <t>Sysav - Sydskånes</t>
  </si>
  <si>
    <t>Sysav</t>
  </si>
  <si>
    <t>Malmo, Sweden</t>
  </si>
  <si>
    <t>SE-011</t>
  </si>
  <si>
    <t>INNOZHERO</t>
  </si>
  <si>
    <t>Öresundskraft Kraft &amp; Värme AB</t>
  </si>
  <si>
    <t>CCS at Filbornaverket CHP Plant ,CO₂ transported for geological storage (mineralization)</t>
  </si>
  <si>
    <t>Helsingborg, Sweden</t>
  </si>
  <si>
    <t>Öresundskraft’s application seeks funding of EUR 54 million. The European Commission has selected Öresundskraft to negotiate the final contract terms and sign a Grant Agreement.</t>
  </si>
  <si>
    <t>https://bioenergyinternational.com/oresundskrafts-innozhero-selected-for-eu-support/</t>
  </si>
  <si>
    <t>CH-001</t>
  </si>
  <si>
    <t>Limeco Dietikon</t>
  </si>
  <si>
    <t>Limeco, Aker Carbon Capture</t>
  </si>
  <si>
    <t>Capture at new waste-to-energy plant in Dietikon, Aker carbon capture conducting feasibility study. CO2 will be liquified for transport by truck or train</t>
  </si>
  <si>
    <t>Switzerland</t>
  </si>
  <si>
    <t>Dietikon, Switzerland</t>
  </si>
  <si>
    <t>Aker Carbon Capture awarded feasibility study</t>
  </si>
  <si>
    <t>https://akercarboncapture.com/?cision_id=651C8691C32227C8#:~:text=Aker%20Carbon%20Capture%20has%20been,to-energy%20plants%20in%20Switzerland.</t>
  </si>
  <si>
    <t>CH-002</t>
  </si>
  <si>
    <t>KVA Linth</t>
  </si>
  <si>
    <t>KVA Linth,  CO2 Capsol</t>
  </si>
  <si>
    <t>Capture from waste to energy plant for storage, half of CO2 captured from biogenic sources.</t>
  </si>
  <si>
    <t>Niederurnen, Switzerland</t>
  </si>
  <si>
    <t>https://www.kva-linth.ch/energie-umwelt/ccs</t>
  </si>
  <si>
    <t>CH-003</t>
  </si>
  <si>
    <t>KSV Werdhölzli WtE</t>
  </si>
  <si>
    <t>Zurich Office for Waste Management, Recycling Zurich (ERZ)</t>
  </si>
  <si>
    <t xml:space="preserve">Municipal project in Zurich to capture vented CO2 from a wastewater treatment facility gas combustion. Captured carbon will be stored in recycled concrete and under the North Sea. </t>
  </si>
  <si>
    <t>Zurich, Switzerland</t>
  </si>
  <si>
    <t>https://www.stadt-zuerich.ch/ted/de/index/departement/medien/medienmitteilungen/2024/01/netto-null-stadt-will-projekt-zur-co2-abscheidung-umsetzen.html</t>
  </si>
  <si>
    <t>GB-048</t>
  </si>
  <si>
    <t>Enfinium Ferrybridge</t>
  </si>
  <si>
    <t>Enfinium, Navigator Terminals, Bechtel</t>
  </si>
  <si>
    <t>CO2 captured at enfinium's Ferrybridge waste to energy facilities, transported to Navigator's storage facilities in Teesside using rail freight. The CO2 will then be transported offshore from Navigator's facilities for permanent storage.</t>
  </si>
  <si>
    <t>Ferrybridge, UK</t>
  </si>
  <si>
    <t>GB-049</t>
  </si>
  <si>
    <t>North London Waste Authority Carbon Capture Project</t>
  </si>
  <si>
    <t>North London Waste Authority</t>
  </si>
  <si>
    <t>Capture from waste to energy facility</t>
  </si>
  <si>
    <t>https://www.nlwa.gov.uk/news/north-london-waste-authority-agrees-award-contract-unlock-vital-waste-management</t>
  </si>
  <si>
    <t>GB-050</t>
  </si>
  <si>
    <t>Parc Adfer</t>
  </si>
  <si>
    <t>Enfinium</t>
  </si>
  <si>
    <t>Capture from waste to energy facility, part of HyNet cluster</t>
  </si>
  <si>
    <t>Part of Hynet Cluster</t>
  </si>
  <si>
    <t>https://www.deeside.com/200m-carbon-capture-project-unveiled-for-deesides-parc-adfer/</t>
  </si>
  <si>
    <t>GB-051</t>
  </si>
  <si>
    <t>Protos ERF CCUS</t>
  </si>
  <si>
    <t>Encyclys/Biffa</t>
  </si>
  <si>
    <t>Capture from energy recovery facility</t>
  </si>
  <si>
    <t>Part of Hynet Cluster,  project was selected for the next stage of the Government’s carbon capture cluster sequencing programme.</t>
  </si>
  <si>
    <t>https://www.encyclis.com/sustainability/carbon-capture/</t>
  </si>
  <si>
    <t>GB-052</t>
  </si>
  <si>
    <t>SUEZ Tees Valley EfW</t>
  </si>
  <si>
    <t>SUEZ</t>
  </si>
  <si>
    <t>Capture from waste to energy, part of East Coast Cluster</t>
  </si>
  <si>
    <t>https://www.suez.co.uk/en-gb/news/press-releases/220322-suez-teesside-carbon-capture-plans-take-a-step-forward</t>
  </si>
  <si>
    <t>GB-053</t>
  </si>
  <si>
    <t>Viridor Runcorn Industrial CCS</t>
  </si>
  <si>
    <t>Viridor</t>
  </si>
  <si>
    <t>Capture from energy-from-waste facility, part of HyNet</t>
  </si>
  <si>
    <t>Runcorn, UK</t>
  </si>
  <si>
    <t>Part of Hynet Cluster, shortlisted for the final stage in the Government’s industrial carbon capture (ICC) sequencing process.</t>
  </si>
  <si>
    <t>https://www.viridor.co.uk/our-ambition/runcorn-ccs-project/</t>
  </si>
  <si>
    <t>GB-054</t>
  </si>
  <si>
    <t>Riverside CCS</t>
  </si>
  <si>
    <t>Cory, Shell Catalysts &amp; Technologies, Technip Energies</t>
  </si>
  <si>
    <t>CO2 capture at energy-from-waste (EfW) plants in Southeast London with permanent CO2 storage under the North Sea.</t>
  </si>
  <si>
    <t>London</t>
  </si>
  <si>
    <t>https://www.letsrecycle.com/news/cory-announces-partners-for-its-riverside-ccs-project/</t>
  </si>
  <si>
    <t>GB-055</t>
  </si>
  <si>
    <t>SUEZ Haverton Hill EfW</t>
  </si>
  <si>
    <t>SUEZ Recycling &amp; Recovery UK</t>
  </si>
  <si>
    <t>GB-056</t>
  </si>
  <si>
    <t>SUEZ EfW Wilton</t>
  </si>
  <si>
    <t>Post-combustion capture from EfW at Wilton</t>
  </si>
  <si>
    <t>GB-057</t>
  </si>
  <si>
    <t>Kemsley CCS (Enfinium)</t>
  </si>
  <si>
    <t>EfW post-combustion capture</t>
  </si>
  <si>
    <t>https://enfinium.co.uk/enfinium-rolls-out-carbon-measurement-technology-progressing-delivery-of-carbon-removals/</t>
  </si>
  <si>
    <t>GB-058</t>
  </si>
  <si>
    <t>North Lincolnshire Green Energy Park CCS</t>
  </si>
  <si>
    <t>Solar 21</t>
  </si>
  <si>
    <t>EfW with CCS at Scunthorpe</t>
  </si>
  <si>
    <t>https://hydrogeneast.uk/2025/03/21/planning-approval-for-waste-to-energy-hydrogen-carbon-capture-plant/#:~:text=NGELP%20is%20set%20to%20be%20an%20energy%20from,condensate%20that%20is%20collected%20from%20the%20CO2%20capture.</t>
  </si>
  <si>
    <t>BE-010</t>
  </si>
  <si>
    <t>ZESTA (Zero Emission Steelmaking at ArcelorMittal Belgium)</t>
  </si>
  <si>
    <t xml:space="preserve">ArcelorMittal Belgium NV, Storm Management; Vestas Wind Systems A/S </t>
  </si>
  <si>
    <t>Direct-reduction plant (DRI) + electric arc furnaces (EAF) + hydrogen + CO₂ capture for residual emissions.</t>
  </si>
  <si>
    <t>The project is expected to avoid around 32 Mt CO₂ over its first ten years of operation. Awarded Grant (Innovation Fund grant signed)</t>
  </si>
  <si>
    <t>101191086.pdf</t>
  </si>
  <si>
    <t>IT-006</t>
  </si>
  <si>
    <t>Rezzato- Mazzano cement plant (DREAM)</t>
  </si>
  <si>
    <t>Heidelberg Materials (Italcementi)</t>
  </si>
  <si>
    <t>xyfuel capture for grey clinker and amine capture for white clinker, with a join waste heat recovery process to power solvent regeneration without additional energy. Storage would be at Ravenna via pipeline. Total emissions are 788 ktpa.</t>
  </si>
  <si>
    <t>Brescia, Italy</t>
  </si>
  <si>
    <t xml:space="preserve">IF24Call - Invited to grant agreement preparation. </t>
  </si>
  <si>
    <t>Decarbonisation project in Italy | Heidelberg Materials</t>
  </si>
  <si>
    <t>RO-002</t>
  </si>
  <si>
    <t>CARBON HUB CPT01</t>
  </si>
  <si>
    <t xml:space="preserve">Holcim, Carmeuse </t>
  </si>
  <si>
    <t>Common capture plant from cement and lime plants. Probably Holcim’s Valea Marea Pravat (Campulung) plant and Carmeuse plant at the same site. No details of capture tech, but presumably post-combustion solvents given it’s a shared unit? Emissions are 1 Mtpa and 91 ktpa respectively. First large-scale onshore CO2 storage sitein Europe, using existing infrastructure. Romania Art 21 report says this project wants to do1.2 Mtpa, over several emitters.</t>
  </si>
  <si>
    <t>Campulung, Romania</t>
  </si>
  <si>
    <t>Cement and Lime</t>
  </si>
  <si>
    <t>CARBON HUB CPT01: România va construi primul sit de stocare onshore a CO2 la scară largă din Europa cu finanțare europeană prin Fondul pentru Inovare - caleaeuropeana.ro</t>
  </si>
  <si>
    <t>PL-001</t>
  </si>
  <si>
    <t>PL-002</t>
  </si>
  <si>
    <t>PL-003</t>
  </si>
  <si>
    <t>DE-013</t>
  </si>
  <si>
    <t>Carbon2Business Lägerdorf</t>
  </si>
  <si>
    <t>Holcim, Linde, OGE</t>
  </si>
  <si>
    <t>~1.2 Mt/y to port for CCU/CCS export</t>
  </si>
  <si>
    <t>Lägerdorf, Germany</t>
  </si>
  <si>
    <t>https://www.holcim.de/pm-net-zero-industry-act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</si>
</sst>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8" formatCode="_-* #,##0_-;\-* #,##0_-;_-* &quot;-&quot;??_-;_-@_-"/>
    <numFmt numFmtId="176" formatCode="0.0"/>
  </numFmts>
  <fonts count="11" x14ac:knownFonts="1">
    <font>
      <sz val="11"/>
      <color theme="1"/>
      <name val="Calibri"/>
      <family val="2"/>
      <charset val="1"/>
    </font>
    <font>
      <b/>
      <sz val="9"/>
      <color rgb="FFFFFFFF"/>
      <name val="Arial"/>
      <charset val="1"/>
    </font>
    <font>
      <b/>
      <sz val="9"/>
      <name val="Arial"/>
      <charset val="1"/>
    </font>
    <font>
      <sz val="9"/>
      <name val="Arial"/>
      <charset val="1"/>
    </font>
    <font>
      <u/>
      <sz val="9"/>
      <color rgb="FF0563C1"/>
      <name val="Arial"/>
      <charset val="1"/>
    </font>
    <font>
      <sz val="9"/>
      <name val="Arial"/>
      <family val="2"/>
    </font>
    <font>
      <u/>
      <sz val="11"/>
      <color theme="10"/>
      <name val="Calibri"/>
      <family val="2"/>
      <charset val="1"/>
    </font>
    <font>
      <sz val="9"/>
      <name val="Arial"/>
    </font>
    <font>
      <b/>
      <sz val="8"/>
      <color rgb="FFFFFFFF"/>
      <name val="Arial"/>
      <charset val="1"/>
    </font>
    <font>
      <sz val="8"/>
      <name val="Arial"/>
      <charset val="1"/>
    </font>
    <font>
      <sz val="8"/>
      <color theme="1"/>
      <name val="Calibri"/>
      <family val="2"/>
      <charset val="1"/>
    </font>
  </fonts>
  <fills count="6">
    <fill>
      <patternFill patternType="none"/>
    </fill>
    <fill>
      <patternFill patternType="gray125"/>
    </fill>
    <fill>
      <patternFill patternType="solid">
        <fgColor rgb="FF333333"/>
        <bgColor rgb="FF1B4332"/>
      </patternFill>
    </fill>
    <fill>
      <patternFill patternType="solid">
        <fgColor rgb="FF1B365D"/>
        <bgColor rgb="FF1B4332"/>
      </patternFill>
    </fill>
    <fill>
      <patternFill patternType="solid">
        <fgColor rgb="FF1B4332"/>
        <bgColor rgb="FF1B365D"/>
      </patternFill>
    </fill>
    <fill>
      <patternFill patternType="solid">
        <fgColor rgb="FFF5F7FA"/>
        <bgColor rgb="FFFFFFFF"/>
      </patternFill>
    </fill>
  </fills>
  <borders count="2">
    <border>
      <left/>
      <right/>
      <top/>
      <bottom/>
      <diagonal/>
    </border>
    <border>
      <left style="thin">
        <color rgb="FFD3D3D3"/>
      </left>
      <right style="thin">
        <color rgb="FFD3D3D3"/>
      </right>
      <top style="thin">
        <color rgb="FFD3D3D3"/>
      </top>
      <bottom style="thin">
        <color rgb="FFD3D3D3"/>
      </bottom>
      <diagonal/>
    </border>
  </borders>
  <cellStyleXfs count="2">
    <xf numFmtId="0" fontId="0" fillId="0" borderId="0"/>
    <xf numFmtId="0" fontId="6" fillId="0" borderId="0" applyNumberFormat="0" applyFill="0" applyBorder="0" applyAlignment="0" applyProtection="0"/>
  </cellStyleXfs>
  <cellXfs count="25">
    <xf numFmtId="0" fontId="0" fillId="0" borderId="0" xfId="0"/>
    <xf numFmtId="0" fontId="2" fillId="5" borderId="1" xfId="0" applyFont="1" applyFill="1" applyBorder="1"/>
    <xf numFmtId="0" fontId="3" fillId="5" borderId="1" xfId="0" applyFont="1" applyFill="1" applyBorder="1" applyAlignment="1">
      <alignment vertical="center" wrapText="1"/>
    </xf>
    <xf numFmtId="0" fontId="4" fillId="5" borderId="1" xfId="0" applyFont="1" applyFill="1" applyBorder="1" applyAlignment="1">
      <alignment vertical="center" wrapText="1"/>
    </xf>
    <xf numFmtId="0" fontId="3" fillId="5" borderId="1" xfId="0" applyFont="1" applyFill="1" applyBorder="1"/>
    <xf numFmtId="0" fontId="2" fillId="0" borderId="1" xfId="0" applyFont="1" applyBorder="1"/>
    <xf numFmtId="0" fontId="3" fillId="0" borderId="1" xfId="0" applyFont="1" applyBorder="1" applyAlignment="1">
      <alignment vertical="center" wrapText="1"/>
    </xf>
    <xf numFmtId="0" fontId="4" fillId="0" borderId="1" xfId="0" applyFont="1" applyBorder="1" applyAlignment="1">
      <alignment vertical="center" wrapText="1"/>
    </xf>
    <xf numFmtId="0" fontId="3" fillId="0" borderId="1" xfId="0" applyFont="1" applyBorder="1"/>
    <xf numFmtId="0" fontId="5" fillId="5" borderId="1" xfId="0" applyFont="1" applyFill="1" applyBorder="1" applyAlignment="1">
      <alignment vertical="center" wrapText="1"/>
    </xf>
    <xf numFmtId="0" fontId="5" fillId="0" borderId="1" xfId="0" applyFont="1" applyBorder="1" applyAlignment="1">
      <alignment vertical="center" wrapText="1"/>
    </xf>
    <xf numFmtId="0" fontId="6" fillId="0" borderId="1" xfId="1" applyBorder="1" applyAlignment="1">
      <alignment vertical="center" wrapText="1"/>
    </xf>
    <xf numFmtId="0" fontId="6" fillId="5" borderId="1" xfId="1" applyFill="1" applyBorder="1" applyAlignment="1">
      <alignment vertical="center" wrapText="1"/>
    </xf>
    <xf numFmtId="168" fontId="3" fillId="5" borderId="1" xfId="0" applyNumberFormat="1" applyFont="1" applyFill="1" applyBorder="1" applyAlignment="1">
      <alignment vertical="center" wrapText="1"/>
    </xf>
    <xf numFmtId="168" fontId="3" fillId="0" borderId="1" xfId="0" applyNumberFormat="1" applyFont="1" applyBorder="1" applyAlignment="1">
      <alignment vertical="center" wrapText="1"/>
    </xf>
    <xf numFmtId="168" fontId="7" fillId="5" borderId="1" xfId="0" applyNumberFormat="1" applyFont="1" applyFill="1" applyBorder="1" applyAlignment="1">
      <alignment vertical="center" wrapText="1"/>
    </xf>
    <xf numFmtId="168" fontId="7" fillId="0" borderId="1" xfId="0" applyNumberFormat="1" applyFont="1" applyBorder="1" applyAlignment="1">
      <alignment vertical="center" wrapText="1"/>
    </xf>
    <xf numFmtId="0" fontId="1" fillId="2" borderId="1" xfId="0" applyFont="1" applyFill="1" applyBorder="1" applyAlignment="1">
      <alignment horizontal="left" vertical="center" wrapText="1"/>
    </xf>
    <xf numFmtId="0" fontId="1" fillId="3"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0" fillId="0" borderId="0" xfId="0" applyAlignment="1">
      <alignment horizontal="left"/>
    </xf>
    <xf numFmtId="0" fontId="8" fillId="3" borderId="1" xfId="0" applyFont="1" applyFill="1" applyBorder="1" applyAlignment="1">
      <alignment horizontal="left" vertical="center" wrapText="1"/>
    </xf>
    <xf numFmtId="0" fontId="10" fillId="0" borderId="0" xfId="0" applyFont="1"/>
    <xf numFmtId="176" fontId="9" fillId="5" borderId="1" xfId="0" applyNumberFormat="1" applyFont="1" applyFill="1" applyBorder="1" applyAlignment="1">
      <alignment vertical="center" wrapText="1"/>
    </xf>
    <xf numFmtId="176" fontId="9" fillId="0" borderId="1" xfId="0" applyNumberFormat="1" applyFont="1" applyBorder="1" applyAlignment="1">
      <alignment vertical="center" wrapText="1"/>
    </xf>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D6A4F"/>
      <rgbColor rgb="FFC0C0C0"/>
      <rgbColor rgb="FF808080"/>
      <rgbColor rgb="FF9999FF"/>
      <rgbColor rgb="FF993366"/>
      <rgbColor rgb="FFF5F7FA"/>
      <rgbColor rgb="FFE8F5E9"/>
      <rgbColor rgb="FF660066"/>
      <rgbColor rgb="FFFF8080"/>
      <rgbColor rgb="FF0563C1"/>
      <rgbColor rgb="FFD3D3D3"/>
      <rgbColor rgb="FF000080"/>
      <rgbColor rgb="FFFF00FF"/>
      <rgbColor rgb="FFFFFF00"/>
      <rgbColor rgb="FF00FFFF"/>
      <rgbColor rgb="FF800080"/>
      <rgbColor rgb="FF800000"/>
      <rgbColor rgb="FF008080"/>
      <rgbColor rgb="FF0000FF"/>
      <rgbColor rgb="FF00CCFF"/>
      <rgbColor rgb="FFE8EEF7"/>
      <rgbColor rgb="FFCCFFCC"/>
      <rgbColor rgb="FFFFFF99"/>
      <rgbColor rgb="FF95D5B2"/>
      <rgbColor rgb="FFFF99CC"/>
      <rgbColor rgb="FFCC99FF"/>
      <rgbColor rgb="FFFFCC99"/>
      <rgbColor rgb="FF4472C4"/>
      <rgbColor rgb="FF33CCCC"/>
      <rgbColor rgb="FF99CC00"/>
      <rgbColor rgb="FFFFCC00"/>
      <rgbColor rgb="FFFF9900"/>
      <rgbColor rgb="FFFF6600"/>
      <rgbColor rgb="FF666699"/>
      <rgbColor rgb="FF969696"/>
      <rgbColor rgb="FF1B365D"/>
      <rgbColor rgb="FF339966"/>
      <rgbColor rgb="FF003300"/>
      <rgbColor rgb="FF1B4332"/>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holcim.de/pm-net-zero-industry-act" TargetMode="External"/><Relationship Id="rId1" Type="http://schemas.openxmlformats.org/officeDocument/2006/relationships/hyperlink" Target="https://orsted.com/en/media/newsroom/news/2023/05/2023051567601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S222"/>
  <sheetViews>
    <sheetView tabSelected="1" zoomScaleNormal="100" workbookViewId="0">
      <pane xSplit="2" ySplit="1" topLeftCell="J152" activePane="bottomRight" state="frozen"/>
      <selection pane="topRight" activeCell="C1" sqref="C1"/>
      <selection pane="bottomLeft" activeCell="A2" sqref="A2"/>
      <selection pane="bottomRight" activeCell="P105" sqref="P105"/>
    </sheetView>
  </sheetViews>
  <sheetFormatPr defaultColWidth="8.6640625" defaultRowHeight="14.25" x14ac:dyDescent="0.45"/>
  <cols>
    <col min="1" max="1" width="9" customWidth="1"/>
    <col min="2" max="2" width="26.796875" customWidth="1"/>
    <col min="3" max="3" width="35" customWidth="1"/>
    <col min="4" max="4" width="40" customWidth="1"/>
    <col min="5" max="5" width="7.73046875" customWidth="1"/>
    <col min="6" max="6" width="13.796875" customWidth="1"/>
    <col min="7" max="7" width="6.796875" customWidth="1"/>
    <col min="8" max="8" width="13.73046875" customWidth="1"/>
    <col min="9" max="9" width="12.59765625" customWidth="1"/>
    <col min="10" max="10" width="12.53125" customWidth="1"/>
    <col min="11" max="11" width="16.33203125" customWidth="1"/>
    <col min="12" max="13" width="5.9296875" style="22" customWidth="1"/>
    <col min="14" max="14" width="16.19921875" customWidth="1"/>
    <col min="15" max="15" width="15.265625" customWidth="1"/>
    <col min="16" max="16" width="14.265625" customWidth="1"/>
    <col min="17" max="17" width="13.46484375" customWidth="1"/>
    <col min="18" max="18" width="6.796875" customWidth="1"/>
    <col min="19" max="19" width="7.265625" customWidth="1"/>
    <col min="20" max="20" width="14" customWidth="1"/>
    <col min="21" max="21" width="29.59765625" customWidth="1"/>
    <col min="22" max="22" width="9.9296875" customWidth="1"/>
    <col min="23" max="23" width="35" customWidth="1"/>
    <col min="24" max="25" width="24" customWidth="1"/>
    <col min="26" max="26" width="28" customWidth="1"/>
    <col min="27" max="28" width="24" customWidth="1"/>
    <col min="29" max="29" width="28" customWidth="1"/>
    <col min="30" max="31" width="22" customWidth="1"/>
    <col min="32" max="32" width="24" customWidth="1"/>
    <col min="33" max="33" width="20" customWidth="1"/>
    <col min="34" max="34" width="22" customWidth="1"/>
    <col min="35" max="35" width="14" customWidth="1"/>
    <col min="36" max="36" width="18" customWidth="1"/>
    <col min="37" max="37" width="16" customWidth="1"/>
    <col min="38" max="38" width="30" customWidth="1"/>
    <col min="39" max="39" width="16" customWidth="1"/>
    <col min="40" max="40" width="18" customWidth="1"/>
    <col min="41" max="41" width="30" customWidth="1"/>
    <col min="42" max="42" width="32" customWidth="1"/>
    <col min="43" max="43" width="35" customWidth="1"/>
    <col min="44" max="44" width="16" customWidth="1"/>
    <col min="45" max="45" width="14" customWidth="1"/>
  </cols>
  <sheetData>
    <row r="1" spans="1:45" s="20" customFormat="1" ht="39.75" customHeight="1" x14ac:dyDescent="0.45">
      <c r="A1" s="17" t="s">
        <v>0</v>
      </c>
      <c r="B1" s="18" t="s">
        <v>1</v>
      </c>
      <c r="C1" s="18" t="s">
        <v>2</v>
      </c>
      <c r="D1" s="18" t="s">
        <v>3</v>
      </c>
      <c r="E1" s="18" t="s">
        <v>4</v>
      </c>
      <c r="F1" s="18" t="s">
        <v>5</v>
      </c>
      <c r="G1" s="18" t="s">
        <v>6</v>
      </c>
      <c r="H1" s="18" t="s">
        <v>7</v>
      </c>
      <c r="I1" s="18" t="s">
        <v>8</v>
      </c>
      <c r="J1" s="18" t="s">
        <v>9</v>
      </c>
      <c r="K1" s="18" t="s">
        <v>10</v>
      </c>
      <c r="L1" s="21" t="s">
        <v>11</v>
      </c>
      <c r="M1" s="21" t="s">
        <v>12</v>
      </c>
      <c r="N1" s="18" t="s">
        <v>13</v>
      </c>
      <c r="O1" s="18" t="s">
        <v>14</v>
      </c>
      <c r="P1" s="18" t="s">
        <v>15</v>
      </c>
      <c r="Q1" s="18" t="s">
        <v>16</v>
      </c>
      <c r="R1" s="18" t="s">
        <v>17</v>
      </c>
      <c r="S1" s="18" t="s">
        <v>18</v>
      </c>
      <c r="T1" s="18" t="s">
        <v>19</v>
      </c>
      <c r="U1" s="18" t="s">
        <v>20</v>
      </c>
      <c r="V1" s="18" t="s">
        <v>21</v>
      </c>
      <c r="W1" s="18" t="s">
        <v>22</v>
      </c>
      <c r="X1" s="19" t="s">
        <v>23</v>
      </c>
      <c r="Y1" s="19" t="s">
        <v>24</v>
      </c>
      <c r="Z1" s="19" t="s">
        <v>25</v>
      </c>
      <c r="AA1" s="19" t="s">
        <v>26</v>
      </c>
      <c r="AB1" s="19" t="s">
        <v>27</v>
      </c>
      <c r="AC1" s="19" t="s">
        <v>28</v>
      </c>
      <c r="AD1" s="19" t="s">
        <v>29</v>
      </c>
      <c r="AE1" s="19" t="s">
        <v>30</v>
      </c>
      <c r="AF1" s="19" t="s">
        <v>31</v>
      </c>
      <c r="AG1" s="19" t="s">
        <v>32</v>
      </c>
      <c r="AH1" s="19" t="s">
        <v>33</v>
      </c>
      <c r="AI1" s="19" t="s">
        <v>34</v>
      </c>
      <c r="AJ1" s="19" t="s">
        <v>35</v>
      </c>
      <c r="AK1" s="19" t="s">
        <v>36</v>
      </c>
      <c r="AL1" s="19" t="s">
        <v>37</v>
      </c>
      <c r="AM1" s="19" t="s">
        <v>38</v>
      </c>
      <c r="AN1" s="19" t="s">
        <v>39</v>
      </c>
      <c r="AO1" s="19" t="s">
        <v>40</v>
      </c>
      <c r="AP1" s="19" t="s">
        <v>41</v>
      </c>
      <c r="AQ1" s="19" t="s">
        <v>42</v>
      </c>
      <c r="AR1" s="19" t="s">
        <v>43</v>
      </c>
      <c r="AS1" s="19" t="s">
        <v>44</v>
      </c>
    </row>
    <row r="2" spans="1:45" ht="53.25" customHeight="1" x14ac:dyDescent="0.45">
      <c r="A2" s="1" t="s">
        <v>151</v>
      </c>
      <c r="B2" s="2" t="s">
        <v>152</v>
      </c>
      <c r="C2" s="2" t="s">
        <v>153</v>
      </c>
      <c r="D2" s="2" t="s">
        <v>154</v>
      </c>
      <c r="E2" s="2" t="s">
        <v>155</v>
      </c>
      <c r="F2" s="2" t="s">
        <v>156</v>
      </c>
      <c r="G2" s="2"/>
      <c r="H2" s="2" t="s">
        <v>51</v>
      </c>
      <c r="I2" s="2" t="s">
        <v>51</v>
      </c>
      <c r="J2" s="2" t="s">
        <v>157</v>
      </c>
      <c r="K2" s="2" t="s">
        <v>157</v>
      </c>
      <c r="L2" s="23">
        <v>50.574723250710001</v>
      </c>
      <c r="M2" s="23">
        <v>3.4433785457855501</v>
      </c>
      <c r="N2" s="13">
        <v>800000</v>
      </c>
      <c r="O2" s="13">
        <v>800000</v>
      </c>
      <c r="P2" s="2" t="s">
        <v>53</v>
      </c>
      <c r="Q2" s="2" t="s">
        <v>158</v>
      </c>
      <c r="R2" s="2">
        <v>2023</v>
      </c>
      <c r="S2" s="2">
        <v>2029</v>
      </c>
      <c r="T2" s="2" t="s">
        <v>54</v>
      </c>
      <c r="U2" s="2" t="s">
        <v>159</v>
      </c>
      <c r="V2" s="2" t="s">
        <v>160</v>
      </c>
      <c r="W2" s="3" t="s">
        <v>161</v>
      </c>
      <c r="X2" s="4"/>
      <c r="Y2" s="4"/>
      <c r="Z2" s="4"/>
      <c r="AA2" s="4"/>
      <c r="AB2" s="4"/>
      <c r="AC2" s="4"/>
      <c r="AD2" s="4"/>
      <c r="AE2" s="4"/>
      <c r="AF2" s="4"/>
      <c r="AG2" s="4"/>
      <c r="AH2" s="4"/>
      <c r="AI2" s="4"/>
      <c r="AJ2" s="4"/>
      <c r="AK2" s="4"/>
      <c r="AL2" s="4"/>
      <c r="AM2" s="4"/>
      <c r="AN2" s="4"/>
      <c r="AO2" s="4"/>
      <c r="AP2" s="4"/>
      <c r="AQ2" s="4"/>
      <c r="AR2" s="4"/>
      <c r="AS2" s="4"/>
    </row>
    <row r="3" spans="1:45" ht="53.25" customHeight="1" x14ac:dyDescent="0.45">
      <c r="A3" s="5" t="s">
        <v>162</v>
      </c>
      <c r="B3" s="6" t="s">
        <v>163</v>
      </c>
      <c r="C3" s="6" t="s">
        <v>164</v>
      </c>
      <c r="D3" s="6" t="s">
        <v>165</v>
      </c>
      <c r="E3" s="6" t="s">
        <v>155</v>
      </c>
      <c r="F3" s="6" t="s">
        <v>166</v>
      </c>
      <c r="G3" s="6"/>
      <c r="H3" s="6" t="s">
        <v>51</v>
      </c>
      <c r="I3" s="6" t="s">
        <v>51</v>
      </c>
      <c r="J3" s="6" t="s">
        <v>157</v>
      </c>
      <c r="K3" s="6" t="s">
        <v>157</v>
      </c>
      <c r="L3" s="24">
        <v>50.473454697340003</v>
      </c>
      <c r="M3" s="24">
        <v>3.9929306263681799</v>
      </c>
      <c r="N3" s="14">
        <v>1000000</v>
      </c>
      <c r="O3" s="14">
        <v>1000000</v>
      </c>
      <c r="P3" s="6" t="s">
        <v>53</v>
      </c>
      <c r="Q3" s="6" t="s">
        <v>53</v>
      </c>
      <c r="R3" s="6">
        <v>2023</v>
      </c>
      <c r="S3" s="6">
        <v>2029</v>
      </c>
      <c r="T3" s="6" t="s">
        <v>54</v>
      </c>
      <c r="U3" s="6" t="s">
        <v>167</v>
      </c>
      <c r="V3" s="6" t="s">
        <v>168</v>
      </c>
      <c r="W3" s="7" t="s">
        <v>169</v>
      </c>
      <c r="X3" s="8"/>
      <c r="Y3" s="8"/>
      <c r="Z3" s="8"/>
      <c r="AA3" s="8"/>
      <c r="AB3" s="8"/>
      <c r="AC3" s="8"/>
      <c r="AD3" s="8"/>
      <c r="AE3" s="8"/>
      <c r="AF3" s="8"/>
      <c r="AG3" s="8"/>
      <c r="AH3" s="8"/>
      <c r="AI3" s="8"/>
      <c r="AJ3" s="8"/>
      <c r="AK3" s="8"/>
      <c r="AL3" s="8"/>
      <c r="AM3" s="8"/>
      <c r="AN3" s="8"/>
      <c r="AO3" s="8"/>
      <c r="AP3" s="8"/>
      <c r="AQ3" s="8"/>
      <c r="AR3" s="8"/>
      <c r="AS3" s="8"/>
    </row>
    <row r="4" spans="1:45" ht="21.75" customHeight="1" x14ac:dyDescent="0.45">
      <c r="A4" s="1" t="s">
        <v>170</v>
      </c>
      <c r="B4" s="2" t="s">
        <v>171</v>
      </c>
      <c r="C4" s="2" t="s">
        <v>172</v>
      </c>
      <c r="D4" s="2" t="s">
        <v>173</v>
      </c>
      <c r="E4" s="2" t="s">
        <v>155</v>
      </c>
      <c r="F4" s="2" t="s">
        <v>174</v>
      </c>
      <c r="G4" s="2"/>
      <c r="H4" s="2" t="s">
        <v>51</v>
      </c>
      <c r="I4" s="2" t="s">
        <v>51</v>
      </c>
      <c r="J4" s="2" t="s">
        <v>157</v>
      </c>
      <c r="K4" s="2" t="s">
        <v>175</v>
      </c>
      <c r="L4" s="23">
        <v>50.479705000000003</v>
      </c>
      <c r="M4" s="23">
        <v>4.9761949999999997</v>
      </c>
      <c r="N4" s="2">
        <v>0</v>
      </c>
      <c r="O4" s="2" t="s">
        <v>176</v>
      </c>
      <c r="P4" s="2" t="s">
        <v>53</v>
      </c>
      <c r="Q4" s="2" t="s">
        <v>53</v>
      </c>
      <c r="R4" s="2">
        <v>2024</v>
      </c>
      <c r="S4" s="2">
        <v>2031</v>
      </c>
      <c r="T4" s="2" t="s">
        <v>98</v>
      </c>
      <c r="U4" s="2" t="s">
        <v>177</v>
      </c>
      <c r="V4" s="2" t="s">
        <v>168</v>
      </c>
      <c r="W4" s="2" t="s">
        <v>178</v>
      </c>
      <c r="X4" s="4"/>
      <c r="Y4" s="4"/>
      <c r="Z4" s="4"/>
      <c r="AA4" s="4"/>
      <c r="AB4" s="4"/>
      <c r="AC4" s="4"/>
      <c r="AD4" s="4"/>
      <c r="AE4" s="4"/>
      <c r="AF4" s="4"/>
      <c r="AG4" s="4"/>
      <c r="AH4" s="4"/>
      <c r="AI4" s="4"/>
      <c r="AJ4" s="4"/>
      <c r="AK4" s="4"/>
      <c r="AL4" s="4"/>
      <c r="AM4" s="4"/>
      <c r="AN4" s="4"/>
      <c r="AO4" s="4"/>
      <c r="AP4" s="4"/>
      <c r="AQ4" s="4"/>
      <c r="AR4" s="4"/>
      <c r="AS4" s="4"/>
    </row>
    <row r="5" spans="1:45" ht="53.25" customHeight="1" x14ac:dyDescent="0.45">
      <c r="A5" s="5" t="s">
        <v>471</v>
      </c>
      <c r="B5" s="6" t="s">
        <v>472</v>
      </c>
      <c r="C5" s="6" t="s">
        <v>473</v>
      </c>
      <c r="D5" s="6" t="s">
        <v>474</v>
      </c>
      <c r="E5" s="6" t="s">
        <v>155</v>
      </c>
      <c r="F5" s="6" t="s">
        <v>475</v>
      </c>
      <c r="G5" s="6"/>
      <c r="H5" s="6" t="s">
        <v>51</v>
      </c>
      <c r="I5" s="6" t="s">
        <v>51</v>
      </c>
      <c r="J5" s="6" t="s">
        <v>476</v>
      </c>
      <c r="K5" s="6" t="s">
        <v>476</v>
      </c>
      <c r="L5" s="24">
        <v>51.159905999999999</v>
      </c>
      <c r="M5" s="24">
        <v>3.7930959999999998</v>
      </c>
      <c r="N5" s="6">
        <v>0</v>
      </c>
      <c r="O5" s="6" t="s">
        <v>176</v>
      </c>
      <c r="P5" s="6" t="s">
        <v>75</v>
      </c>
      <c r="Q5" s="6" t="s">
        <v>75</v>
      </c>
      <c r="R5" s="6">
        <v>2021</v>
      </c>
      <c r="S5" s="6"/>
      <c r="T5" s="6" t="s">
        <v>54</v>
      </c>
      <c r="U5" s="6"/>
      <c r="V5" s="6"/>
      <c r="W5" s="6"/>
      <c r="X5" s="8"/>
      <c r="Y5" s="8"/>
      <c r="Z5" s="8"/>
      <c r="AA5" s="8"/>
      <c r="AB5" s="8"/>
      <c r="AC5" s="8"/>
      <c r="AD5" s="8"/>
      <c r="AE5" s="8"/>
      <c r="AF5" s="8"/>
      <c r="AG5" s="8"/>
      <c r="AH5" s="8"/>
      <c r="AI5" s="8"/>
      <c r="AJ5" s="8"/>
      <c r="AK5" s="8"/>
      <c r="AL5" s="8"/>
      <c r="AM5" s="8"/>
      <c r="AN5" s="8"/>
      <c r="AO5" s="8"/>
      <c r="AP5" s="8"/>
      <c r="AQ5" s="8"/>
      <c r="AR5" s="8"/>
      <c r="AS5" s="8"/>
    </row>
    <row r="6" spans="1:45" ht="53.25" customHeight="1" x14ac:dyDescent="0.45">
      <c r="A6" s="1" t="s">
        <v>683</v>
      </c>
      <c r="B6" s="2" t="s">
        <v>684</v>
      </c>
      <c r="C6" s="2" t="s">
        <v>685</v>
      </c>
      <c r="D6" s="2" t="s">
        <v>686</v>
      </c>
      <c r="E6" s="2" t="s">
        <v>155</v>
      </c>
      <c r="F6" s="2" t="s">
        <v>687</v>
      </c>
      <c r="G6" s="2"/>
      <c r="H6" s="2" t="s">
        <v>51</v>
      </c>
      <c r="I6" s="2" t="s">
        <v>51</v>
      </c>
      <c r="J6" s="2" t="s">
        <v>688</v>
      </c>
      <c r="K6" s="2" t="s">
        <v>689</v>
      </c>
      <c r="L6" s="23">
        <v>51.240490000000001</v>
      </c>
      <c r="M6" s="23">
        <v>4.4074200000000001</v>
      </c>
      <c r="N6" s="15">
        <v>1500000</v>
      </c>
      <c r="O6" s="15">
        <v>1500000</v>
      </c>
      <c r="P6" s="2" t="s">
        <v>53</v>
      </c>
      <c r="Q6" s="2" t="s">
        <v>53</v>
      </c>
      <c r="R6" s="2">
        <v>2019</v>
      </c>
      <c r="S6" s="2">
        <v>2027</v>
      </c>
      <c r="T6" s="2" t="s">
        <v>54</v>
      </c>
      <c r="U6" s="2"/>
      <c r="V6" s="2"/>
      <c r="W6" s="2" t="s">
        <v>690</v>
      </c>
      <c r="X6" s="4"/>
      <c r="Y6" s="4"/>
      <c r="Z6" s="4"/>
      <c r="AA6" s="4"/>
      <c r="AB6" s="4"/>
      <c r="AC6" s="4"/>
      <c r="AD6" s="4"/>
      <c r="AE6" s="4"/>
      <c r="AF6" s="4"/>
      <c r="AG6" s="4"/>
      <c r="AH6" s="4"/>
      <c r="AI6" s="4"/>
      <c r="AJ6" s="4"/>
      <c r="AK6" s="4"/>
      <c r="AL6" s="4"/>
      <c r="AM6" s="4"/>
      <c r="AN6" s="4"/>
      <c r="AO6" s="4"/>
      <c r="AP6" s="4"/>
      <c r="AQ6" s="4"/>
      <c r="AR6" s="4"/>
      <c r="AS6" s="4"/>
    </row>
    <row r="7" spans="1:45" ht="32.25" customHeight="1" x14ac:dyDescent="0.45">
      <c r="A7" s="5" t="s">
        <v>691</v>
      </c>
      <c r="B7" s="6" t="s">
        <v>692</v>
      </c>
      <c r="C7" s="6" t="s">
        <v>693</v>
      </c>
      <c r="D7" s="6" t="s">
        <v>694</v>
      </c>
      <c r="E7" s="6" t="s">
        <v>155</v>
      </c>
      <c r="F7" s="6" t="s">
        <v>687</v>
      </c>
      <c r="G7" s="6"/>
      <c r="H7" s="6" t="s">
        <v>51</v>
      </c>
      <c r="I7" s="6" t="s">
        <v>51</v>
      </c>
      <c r="J7" s="6" t="s">
        <v>688</v>
      </c>
      <c r="K7" s="6" t="s">
        <v>695</v>
      </c>
      <c r="L7" s="24">
        <v>51.219448</v>
      </c>
      <c r="M7" s="24">
        <v>4.4024640000000002</v>
      </c>
      <c r="N7" s="16">
        <v>750000</v>
      </c>
      <c r="O7" s="16">
        <v>750000</v>
      </c>
      <c r="P7" s="6" t="s">
        <v>75</v>
      </c>
      <c r="Q7" s="6" t="s">
        <v>75</v>
      </c>
      <c r="R7" s="6">
        <v>2025</v>
      </c>
      <c r="S7" s="6">
        <v>2031</v>
      </c>
      <c r="T7" s="6" t="s">
        <v>98</v>
      </c>
      <c r="U7" s="6" t="s">
        <v>696</v>
      </c>
      <c r="V7" s="6" t="s">
        <v>279</v>
      </c>
      <c r="W7" s="6" t="s">
        <v>697</v>
      </c>
      <c r="X7" s="8"/>
      <c r="Y7" s="8"/>
      <c r="Z7" s="8"/>
      <c r="AA7" s="8"/>
      <c r="AB7" s="8"/>
      <c r="AC7" s="8"/>
      <c r="AD7" s="8"/>
      <c r="AE7" s="8"/>
      <c r="AF7" s="8"/>
      <c r="AG7" s="8"/>
      <c r="AH7" s="8"/>
      <c r="AI7" s="8"/>
      <c r="AJ7" s="8"/>
      <c r="AK7" s="8"/>
      <c r="AL7" s="8"/>
      <c r="AM7" s="8"/>
      <c r="AN7" s="8"/>
      <c r="AO7" s="8"/>
      <c r="AP7" s="8"/>
      <c r="AQ7" s="8"/>
      <c r="AR7" s="8"/>
      <c r="AS7" s="8"/>
    </row>
    <row r="8" spans="1:45" ht="21.75" customHeight="1" x14ac:dyDescent="0.45">
      <c r="A8" s="1" t="s">
        <v>1029</v>
      </c>
      <c r="B8" s="2" t="s">
        <v>1030</v>
      </c>
      <c r="C8" s="2" t="s">
        <v>1031</v>
      </c>
      <c r="D8" s="2" t="s">
        <v>1032</v>
      </c>
      <c r="E8" s="2" t="s">
        <v>155</v>
      </c>
      <c r="F8" s="2" t="s">
        <v>687</v>
      </c>
      <c r="G8" s="2"/>
      <c r="H8" s="2" t="s">
        <v>51</v>
      </c>
      <c r="I8" s="2" t="s">
        <v>51</v>
      </c>
      <c r="J8" s="2" t="s">
        <v>1033</v>
      </c>
      <c r="K8" s="2" t="s">
        <v>1034</v>
      </c>
      <c r="L8" s="23">
        <v>51.363199999999999</v>
      </c>
      <c r="M8" s="23">
        <v>4.2932290000000002</v>
      </c>
      <c r="N8" s="15">
        <v>2500000</v>
      </c>
      <c r="O8" s="15">
        <v>2500000</v>
      </c>
      <c r="P8" s="2"/>
      <c r="Q8" s="2"/>
      <c r="R8" s="2">
        <v>2022</v>
      </c>
      <c r="S8" s="2"/>
      <c r="T8" s="2" t="s">
        <v>98</v>
      </c>
      <c r="U8" s="2" t="s">
        <v>1035</v>
      </c>
      <c r="V8" s="2"/>
      <c r="W8" s="3" t="s">
        <v>1036</v>
      </c>
      <c r="X8" s="4"/>
      <c r="Y8" s="4"/>
      <c r="Z8" s="4"/>
      <c r="AA8" s="4"/>
      <c r="AB8" s="4"/>
      <c r="AC8" s="4"/>
      <c r="AD8" s="4"/>
      <c r="AE8" s="4"/>
      <c r="AF8" s="4"/>
      <c r="AG8" s="4"/>
      <c r="AH8" s="4"/>
      <c r="AI8" s="4"/>
      <c r="AJ8" s="4"/>
      <c r="AK8" s="4"/>
      <c r="AL8" s="4"/>
      <c r="AM8" s="4"/>
      <c r="AN8" s="4"/>
      <c r="AO8" s="4"/>
      <c r="AP8" s="4"/>
      <c r="AQ8" s="4"/>
      <c r="AR8" s="4"/>
      <c r="AS8" s="4"/>
    </row>
    <row r="9" spans="1:45" ht="32.25" customHeight="1" x14ac:dyDescent="0.45">
      <c r="A9" s="5" t="s">
        <v>1037</v>
      </c>
      <c r="B9" s="6" t="s">
        <v>1038</v>
      </c>
      <c r="C9" s="6" t="s">
        <v>1039</v>
      </c>
      <c r="D9" s="6" t="s">
        <v>1040</v>
      </c>
      <c r="E9" s="6" t="s">
        <v>155</v>
      </c>
      <c r="F9" s="6" t="s">
        <v>1041</v>
      </c>
      <c r="G9" s="6"/>
      <c r="H9" s="6" t="s">
        <v>51</v>
      </c>
      <c r="I9" s="6" t="s">
        <v>51</v>
      </c>
      <c r="J9" s="6" t="s">
        <v>1033</v>
      </c>
      <c r="K9" s="6" t="s">
        <v>1042</v>
      </c>
      <c r="L9" s="24">
        <v>51.336565</v>
      </c>
      <c r="M9" s="24">
        <v>3.2091289999999999</v>
      </c>
      <c r="N9" s="16">
        <v>20000000</v>
      </c>
      <c r="O9" s="16" t="s">
        <v>1043</v>
      </c>
      <c r="P9" s="6" t="s">
        <v>53</v>
      </c>
      <c r="Q9" s="6" t="s">
        <v>53</v>
      </c>
      <c r="R9" s="6">
        <v>2022</v>
      </c>
      <c r="S9" s="6"/>
      <c r="T9" s="6" t="s">
        <v>98</v>
      </c>
      <c r="U9" s="6" t="s">
        <v>1044</v>
      </c>
      <c r="V9" s="6"/>
      <c r="W9" s="6" t="s">
        <v>1038</v>
      </c>
      <c r="X9" s="8"/>
      <c r="Y9" s="8"/>
      <c r="Z9" s="8"/>
      <c r="AA9" s="8"/>
      <c r="AB9" s="8"/>
      <c r="AC9" s="8"/>
      <c r="AD9" s="8"/>
      <c r="AE9" s="8"/>
      <c r="AF9" s="8"/>
      <c r="AG9" s="8"/>
      <c r="AH9" s="8"/>
      <c r="AI9" s="8"/>
      <c r="AJ9" s="8"/>
      <c r="AK9" s="8"/>
      <c r="AL9" s="8"/>
      <c r="AM9" s="8"/>
      <c r="AN9" s="8"/>
      <c r="AO9" s="8"/>
      <c r="AP9" s="8"/>
      <c r="AQ9" s="8"/>
      <c r="AR9" s="8"/>
      <c r="AS9" s="8"/>
    </row>
    <row r="10" spans="1:45" ht="32.25" customHeight="1" x14ac:dyDescent="0.45">
      <c r="A10" s="1" t="s">
        <v>1045</v>
      </c>
      <c r="B10" s="2" t="s">
        <v>1046</v>
      </c>
      <c r="C10" s="2" t="s">
        <v>1047</v>
      </c>
      <c r="D10" s="2" t="s">
        <v>1048</v>
      </c>
      <c r="E10" s="2" t="s">
        <v>155</v>
      </c>
      <c r="F10" s="2" t="s">
        <v>1049</v>
      </c>
      <c r="G10" s="2"/>
      <c r="H10" s="2" t="s">
        <v>51</v>
      </c>
      <c r="I10" s="2" t="s">
        <v>51</v>
      </c>
      <c r="J10" s="2" t="s">
        <v>1033</v>
      </c>
      <c r="K10" s="2" t="s">
        <v>1034</v>
      </c>
      <c r="L10" s="23">
        <v>51.122385999999999</v>
      </c>
      <c r="M10" s="23">
        <v>3.7754690000000002</v>
      </c>
      <c r="N10" s="15">
        <v>6000000</v>
      </c>
      <c r="O10" s="15">
        <v>6000000</v>
      </c>
      <c r="P10" s="2" t="s">
        <v>53</v>
      </c>
      <c r="Q10" s="2" t="s">
        <v>53</v>
      </c>
      <c r="R10" s="2">
        <v>2022</v>
      </c>
      <c r="S10" s="2">
        <v>2027</v>
      </c>
      <c r="T10" s="2" t="s">
        <v>98</v>
      </c>
      <c r="U10" s="2" t="s">
        <v>1050</v>
      </c>
      <c r="V10" s="2"/>
      <c r="W10" s="3" t="s">
        <v>1051</v>
      </c>
      <c r="X10" s="4"/>
      <c r="Y10" s="4"/>
      <c r="Z10" s="4"/>
      <c r="AA10" s="4"/>
      <c r="AB10" s="4"/>
      <c r="AC10" s="4"/>
      <c r="AD10" s="4"/>
      <c r="AE10" s="4"/>
      <c r="AF10" s="4"/>
      <c r="AG10" s="4"/>
      <c r="AH10" s="4"/>
      <c r="AI10" s="4"/>
      <c r="AJ10" s="4"/>
      <c r="AK10" s="4"/>
      <c r="AL10" s="4"/>
      <c r="AM10" s="4"/>
      <c r="AN10" s="4"/>
      <c r="AO10" s="4"/>
      <c r="AP10" s="4"/>
      <c r="AQ10" s="4"/>
      <c r="AR10" s="4"/>
      <c r="AS10" s="4"/>
    </row>
    <row r="11" spans="1:45" ht="21.75" customHeight="1" x14ac:dyDescent="0.45">
      <c r="A11" s="5" t="s">
        <v>1447</v>
      </c>
      <c r="B11" s="6" t="s">
        <v>1448</v>
      </c>
      <c r="C11" s="6" t="s">
        <v>1449</v>
      </c>
      <c r="D11" s="6" t="s">
        <v>1450</v>
      </c>
      <c r="E11" s="6" t="s">
        <v>155</v>
      </c>
      <c r="F11" s="6" t="s">
        <v>475</v>
      </c>
      <c r="G11" s="6"/>
      <c r="H11" s="6" t="s">
        <v>51</v>
      </c>
      <c r="I11" s="6" t="s">
        <v>51</v>
      </c>
      <c r="J11" s="6" t="s">
        <v>688</v>
      </c>
      <c r="K11" s="6" t="s">
        <v>748</v>
      </c>
      <c r="L11" s="24">
        <v>51.192270000000001</v>
      </c>
      <c r="M11" s="24">
        <v>3.8356370000000002</v>
      </c>
      <c r="N11" s="16">
        <v>0</v>
      </c>
      <c r="O11" s="16" t="s">
        <v>176</v>
      </c>
      <c r="P11" s="6" t="s">
        <v>53</v>
      </c>
      <c r="Q11" s="6" t="s">
        <v>53</v>
      </c>
      <c r="R11" s="6">
        <v>2025</v>
      </c>
      <c r="S11" s="6"/>
      <c r="T11" s="6" t="s">
        <v>98</v>
      </c>
      <c r="U11" s="6" t="s">
        <v>1451</v>
      </c>
      <c r="V11" s="6"/>
      <c r="W11" s="6" t="s">
        <v>1452</v>
      </c>
      <c r="X11" s="8"/>
      <c r="Y11" s="8"/>
      <c r="Z11" s="8"/>
      <c r="AA11" s="8"/>
      <c r="AB11" s="8"/>
      <c r="AC11" s="8"/>
      <c r="AD11" s="8"/>
      <c r="AE11" s="8"/>
      <c r="AF11" s="8"/>
      <c r="AG11" s="8"/>
      <c r="AH11" s="8"/>
      <c r="AI11" s="8"/>
      <c r="AJ11" s="8"/>
      <c r="AK11" s="8"/>
      <c r="AL11" s="8"/>
      <c r="AM11" s="8"/>
      <c r="AN11" s="8"/>
      <c r="AO11" s="8"/>
      <c r="AP11" s="8"/>
      <c r="AQ11" s="8"/>
      <c r="AR11" s="8"/>
      <c r="AS11" s="8"/>
    </row>
    <row r="12" spans="1:45" ht="21.75" customHeight="1" x14ac:dyDescent="0.45">
      <c r="A12" s="5" t="s">
        <v>179</v>
      </c>
      <c r="B12" s="6" t="s">
        <v>180</v>
      </c>
      <c r="C12" s="6" t="s">
        <v>181</v>
      </c>
      <c r="D12" s="6" t="s">
        <v>182</v>
      </c>
      <c r="E12" s="6" t="s">
        <v>183</v>
      </c>
      <c r="F12" s="6" t="s">
        <v>183</v>
      </c>
      <c r="G12" s="6"/>
      <c r="H12" s="6" t="s">
        <v>51</v>
      </c>
      <c r="I12" s="6" t="s">
        <v>51</v>
      </c>
      <c r="J12" s="6" t="s">
        <v>157</v>
      </c>
      <c r="K12" s="6" t="s">
        <v>157</v>
      </c>
      <c r="L12" s="24">
        <v>43.234174000000003</v>
      </c>
      <c r="M12" s="24">
        <v>27.593969000000001</v>
      </c>
      <c r="N12" s="15">
        <v>800000</v>
      </c>
      <c r="O12" s="15">
        <v>800000</v>
      </c>
      <c r="P12" s="6" t="s">
        <v>65</v>
      </c>
      <c r="Q12" s="6" t="s">
        <v>184</v>
      </c>
      <c r="R12" s="6">
        <v>2022</v>
      </c>
      <c r="S12" s="6"/>
      <c r="T12" s="6" t="s">
        <v>54</v>
      </c>
      <c r="U12" s="6" t="s">
        <v>126</v>
      </c>
      <c r="V12" s="6"/>
      <c r="W12" s="7" t="s">
        <v>185</v>
      </c>
      <c r="X12" s="8"/>
      <c r="Y12" s="8"/>
      <c r="Z12" s="8"/>
      <c r="AA12" s="8"/>
      <c r="AB12" s="8"/>
      <c r="AC12" s="8"/>
      <c r="AD12" s="8"/>
      <c r="AE12" s="8"/>
      <c r="AF12" s="8"/>
      <c r="AG12" s="8"/>
      <c r="AH12" s="8"/>
      <c r="AI12" s="8"/>
      <c r="AJ12" s="8"/>
      <c r="AK12" s="8"/>
      <c r="AL12" s="8"/>
      <c r="AM12" s="8"/>
      <c r="AN12" s="8"/>
      <c r="AO12" s="8"/>
      <c r="AP12" s="8"/>
      <c r="AQ12" s="8"/>
      <c r="AR12" s="8"/>
      <c r="AS12" s="8"/>
    </row>
    <row r="13" spans="1:45" ht="32.25" customHeight="1" x14ac:dyDescent="0.45">
      <c r="A13" s="1" t="s">
        <v>186</v>
      </c>
      <c r="B13" s="2" t="s">
        <v>187</v>
      </c>
      <c r="C13" s="2" t="s">
        <v>188</v>
      </c>
      <c r="D13" s="2" t="s">
        <v>189</v>
      </c>
      <c r="E13" s="2" t="s">
        <v>183</v>
      </c>
      <c r="F13" s="2" t="s">
        <v>183</v>
      </c>
      <c r="G13" s="2"/>
      <c r="H13" s="2" t="s">
        <v>51</v>
      </c>
      <c r="I13" s="2" t="s">
        <v>51</v>
      </c>
      <c r="J13" s="2" t="s">
        <v>157</v>
      </c>
      <c r="K13" s="2" t="s">
        <v>157</v>
      </c>
      <c r="L13" s="23">
        <v>43.282359999999997</v>
      </c>
      <c r="M13" s="23">
        <v>23.466038000000001</v>
      </c>
      <c r="N13" s="16">
        <v>600000</v>
      </c>
      <c r="O13" s="16">
        <v>600000</v>
      </c>
      <c r="P13" s="2" t="s">
        <v>53</v>
      </c>
      <c r="Q13" s="2" t="s">
        <v>53</v>
      </c>
      <c r="R13" s="2">
        <v>2024</v>
      </c>
      <c r="S13" s="2">
        <v>2030</v>
      </c>
      <c r="T13" s="2" t="s">
        <v>54</v>
      </c>
      <c r="U13" s="2" t="s">
        <v>190</v>
      </c>
      <c r="V13" s="2"/>
      <c r="W13" s="2" t="s">
        <v>191</v>
      </c>
      <c r="X13" s="4"/>
      <c r="Y13" s="4"/>
      <c r="Z13" s="4"/>
      <c r="AA13" s="4"/>
      <c r="AB13" s="4"/>
      <c r="AC13" s="4"/>
      <c r="AD13" s="4"/>
      <c r="AE13" s="4"/>
      <c r="AF13" s="4"/>
      <c r="AG13" s="4"/>
      <c r="AH13" s="4"/>
      <c r="AI13" s="4"/>
      <c r="AJ13" s="4"/>
      <c r="AK13" s="4"/>
      <c r="AL13" s="4"/>
      <c r="AM13" s="4"/>
      <c r="AN13" s="4"/>
      <c r="AO13" s="4"/>
      <c r="AP13" s="4"/>
      <c r="AQ13" s="4"/>
      <c r="AR13" s="4"/>
      <c r="AS13" s="4"/>
    </row>
    <row r="14" spans="1:45" ht="15" customHeight="1" x14ac:dyDescent="0.45">
      <c r="A14" s="5" t="s">
        <v>1372</v>
      </c>
      <c r="B14" s="6" t="s">
        <v>1373</v>
      </c>
      <c r="C14" s="6" t="s">
        <v>1374</v>
      </c>
      <c r="D14" s="6" t="s">
        <v>1375</v>
      </c>
      <c r="E14" s="6" t="s">
        <v>1376</v>
      </c>
      <c r="F14" s="6" t="s">
        <v>1377</v>
      </c>
      <c r="G14" s="6"/>
      <c r="H14" s="6" t="s">
        <v>1243</v>
      </c>
      <c r="I14" s="6" t="s">
        <v>1243</v>
      </c>
      <c r="J14" s="6" t="s">
        <v>1243</v>
      </c>
      <c r="K14" s="6" t="s">
        <v>1243</v>
      </c>
      <c r="L14" s="24">
        <v>47.4160881579893</v>
      </c>
      <c r="M14" s="24">
        <v>8.4032730323832503</v>
      </c>
      <c r="N14" s="15">
        <v>0</v>
      </c>
      <c r="O14" s="15" t="s">
        <v>176</v>
      </c>
      <c r="P14" s="6" t="s">
        <v>53</v>
      </c>
      <c r="Q14" s="6" t="s">
        <v>53</v>
      </c>
      <c r="R14" s="6">
        <v>2023</v>
      </c>
      <c r="S14" s="6"/>
      <c r="T14" s="6" t="s">
        <v>54</v>
      </c>
      <c r="U14" s="6" t="s">
        <v>1378</v>
      </c>
      <c r="V14" s="6" t="s">
        <v>107</v>
      </c>
      <c r="W14" s="7" t="s">
        <v>1379</v>
      </c>
      <c r="X14" s="8"/>
      <c r="Y14" s="8"/>
      <c r="Z14" s="8"/>
      <c r="AA14" s="8"/>
      <c r="AB14" s="8"/>
      <c r="AC14" s="8"/>
      <c r="AD14" s="8"/>
      <c r="AE14" s="8"/>
      <c r="AF14" s="8"/>
      <c r="AG14" s="8"/>
      <c r="AH14" s="8"/>
      <c r="AI14" s="8"/>
      <c r="AJ14" s="8"/>
      <c r="AK14" s="8"/>
      <c r="AL14" s="8"/>
      <c r="AM14" s="8"/>
      <c r="AN14" s="8"/>
      <c r="AO14" s="8"/>
      <c r="AP14" s="8"/>
      <c r="AQ14" s="8"/>
      <c r="AR14" s="8"/>
      <c r="AS14" s="8"/>
    </row>
    <row r="15" spans="1:45" ht="32.25" customHeight="1" x14ac:dyDescent="0.45">
      <c r="A15" s="1" t="s">
        <v>1380</v>
      </c>
      <c r="B15" s="2" t="s">
        <v>1381</v>
      </c>
      <c r="C15" s="2" t="s">
        <v>1382</v>
      </c>
      <c r="D15" s="2" t="s">
        <v>1383</v>
      </c>
      <c r="E15" s="2" t="s">
        <v>1376</v>
      </c>
      <c r="F15" s="2" t="s">
        <v>1384</v>
      </c>
      <c r="G15" s="2"/>
      <c r="H15" s="2" t="s">
        <v>1243</v>
      </c>
      <c r="I15" s="2" t="s">
        <v>1243</v>
      </c>
      <c r="J15" s="2" t="s">
        <v>1243</v>
      </c>
      <c r="K15" s="2" t="s">
        <v>1243</v>
      </c>
      <c r="L15" s="23">
        <v>47.13588</v>
      </c>
      <c r="M15" s="23">
        <v>9.0410400000000006</v>
      </c>
      <c r="N15" s="16">
        <v>110000</v>
      </c>
      <c r="O15" s="16">
        <v>110000</v>
      </c>
      <c r="P15" s="2" t="s">
        <v>53</v>
      </c>
      <c r="Q15" s="2" t="s">
        <v>53</v>
      </c>
      <c r="R15" s="2">
        <v>2023</v>
      </c>
      <c r="S15" s="2"/>
      <c r="T15" s="2" t="s">
        <v>54</v>
      </c>
      <c r="U15" s="2"/>
      <c r="V15" s="2" t="s">
        <v>197</v>
      </c>
      <c r="W15" s="3" t="s">
        <v>1385</v>
      </c>
      <c r="X15" s="4"/>
      <c r="Y15" s="4"/>
      <c r="Z15" s="4"/>
      <c r="AA15" s="4"/>
      <c r="AB15" s="4"/>
      <c r="AC15" s="4"/>
      <c r="AD15" s="4"/>
      <c r="AE15" s="4"/>
      <c r="AF15" s="4"/>
      <c r="AG15" s="4"/>
      <c r="AH15" s="4"/>
      <c r="AI15" s="4"/>
      <c r="AJ15" s="4"/>
      <c r="AK15" s="4"/>
      <c r="AL15" s="4"/>
      <c r="AM15" s="4"/>
      <c r="AN15" s="4"/>
      <c r="AO15" s="4"/>
      <c r="AP15" s="4"/>
      <c r="AQ15" s="4"/>
      <c r="AR15" s="4"/>
      <c r="AS15" s="4"/>
    </row>
    <row r="16" spans="1:45" ht="63.75" customHeight="1" x14ac:dyDescent="0.45">
      <c r="A16" s="5" t="s">
        <v>1386</v>
      </c>
      <c r="B16" s="6" t="s">
        <v>1387</v>
      </c>
      <c r="C16" s="6" t="s">
        <v>1388</v>
      </c>
      <c r="D16" s="6" t="s">
        <v>1389</v>
      </c>
      <c r="E16" s="6" t="s">
        <v>1376</v>
      </c>
      <c r="F16" s="6" t="s">
        <v>1390</v>
      </c>
      <c r="G16" s="6"/>
      <c r="H16" s="6" t="s">
        <v>1243</v>
      </c>
      <c r="I16" s="6" t="s">
        <v>1243</v>
      </c>
      <c r="J16" s="6" t="s">
        <v>1243</v>
      </c>
      <c r="K16" s="6" t="s">
        <v>1243</v>
      </c>
      <c r="L16" s="24">
        <v>47.399901298728302</v>
      </c>
      <c r="M16" s="24">
        <v>8.4825791226129503</v>
      </c>
      <c r="N16" s="15">
        <v>25000</v>
      </c>
      <c r="O16" s="15">
        <v>25000</v>
      </c>
      <c r="P16" s="6" t="s">
        <v>75</v>
      </c>
      <c r="Q16" s="6" t="s">
        <v>75</v>
      </c>
      <c r="R16" s="6">
        <v>2024</v>
      </c>
      <c r="S16" s="6">
        <v>2028</v>
      </c>
      <c r="T16" s="6" t="s">
        <v>54</v>
      </c>
      <c r="U16" s="6"/>
      <c r="V16" s="6"/>
      <c r="W16" s="7" t="s">
        <v>1391</v>
      </c>
      <c r="X16" s="8"/>
      <c r="Y16" s="8"/>
      <c r="Z16" s="8"/>
      <c r="AA16" s="8"/>
      <c r="AB16" s="8"/>
      <c r="AC16" s="8"/>
      <c r="AD16" s="8"/>
      <c r="AE16" s="8"/>
      <c r="AF16" s="8"/>
      <c r="AG16" s="8"/>
      <c r="AH16" s="8"/>
      <c r="AI16" s="8"/>
      <c r="AJ16" s="8"/>
      <c r="AK16" s="8"/>
      <c r="AL16" s="8"/>
      <c r="AM16" s="8"/>
      <c r="AN16" s="8"/>
      <c r="AO16" s="8"/>
      <c r="AP16" s="8"/>
      <c r="AQ16" s="8"/>
      <c r="AR16" s="8"/>
      <c r="AS16" s="8"/>
    </row>
    <row r="17" spans="1:45" ht="74.25" customHeight="1" x14ac:dyDescent="0.45">
      <c r="A17" s="5" t="s">
        <v>206</v>
      </c>
      <c r="B17" s="6" t="s">
        <v>207</v>
      </c>
      <c r="C17" s="6" t="s">
        <v>153</v>
      </c>
      <c r="D17" s="6" t="s">
        <v>208</v>
      </c>
      <c r="E17" s="6" t="s">
        <v>209</v>
      </c>
      <c r="F17" s="6" t="s">
        <v>209</v>
      </c>
      <c r="G17" s="6"/>
      <c r="H17" s="6" t="s">
        <v>51</v>
      </c>
      <c r="I17" s="6" t="s">
        <v>51</v>
      </c>
      <c r="J17" s="6" t="s">
        <v>157</v>
      </c>
      <c r="K17" s="6" t="s">
        <v>157</v>
      </c>
      <c r="L17" s="24">
        <v>49.215626</v>
      </c>
      <c r="M17" s="24">
        <v>16.773675999999998</v>
      </c>
      <c r="N17" s="16">
        <v>0</v>
      </c>
      <c r="O17" s="16" t="s">
        <v>176</v>
      </c>
      <c r="P17" s="6" t="s">
        <v>75</v>
      </c>
      <c r="Q17" s="6" t="s">
        <v>75</v>
      </c>
      <c r="R17" s="6">
        <v>2024</v>
      </c>
      <c r="S17" s="6">
        <v>2031</v>
      </c>
      <c r="T17" s="6" t="s">
        <v>54</v>
      </c>
      <c r="U17" s="6"/>
      <c r="V17" s="6"/>
      <c r="W17" s="6"/>
      <c r="X17" s="8"/>
      <c r="Y17" s="8"/>
      <c r="Z17" s="8"/>
      <c r="AA17" s="8"/>
      <c r="AB17" s="8"/>
      <c r="AC17" s="8"/>
      <c r="AD17" s="8"/>
      <c r="AE17" s="8"/>
      <c r="AF17" s="8"/>
      <c r="AG17" s="8"/>
      <c r="AH17" s="8"/>
      <c r="AI17" s="8"/>
      <c r="AJ17" s="8"/>
      <c r="AK17" s="8"/>
      <c r="AL17" s="8"/>
      <c r="AM17" s="8"/>
      <c r="AN17" s="8"/>
      <c r="AO17" s="8"/>
      <c r="AP17" s="8"/>
      <c r="AQ17" s="8"/>
      <c r="AR17" s="8"/>
      <c r="AS17" s="8"/>
    </row>
    <row r="18" spans="1:45" ht="53.25" customHeight="1" x14ac:dyDescent="0.45">
      <c r="A18" s="5" t="s">
        <v>265</v>
      </c>
      <c r="B18" s="6" t="s">
        <v>266</v>
      </c>
      <c r="C18" s="6" t="s">
        <v>267</v>
      </c>
      <c r="D18" s="6" t="s">
        <v>268</v>
      </c>
      <c r="E18" s="6" t="s">
        <v>269</v>
      </c>
      <c r="F18" s="6" t="s">
        <v>270</v>
      </c>
      <c r="G18" s="6"/>
      <c r="H18" s="6" t="s">
        <v>51</v>
      </c>
      <c r="I18" s="6" t="s">
        <v>51</v>
      </c>
      <c r="J18" s="6" t="s">
        <v>157</v>
      </c>
      <c r="K18" s="6" t="s">
        <v>157</v>
      </c>
      <c r="L18" s="24">
        <v>51.853960287053503</v>
      </c>
      <c r="M18" s="24">
        <v>8.0291694372004301</v>
      </c>
      <c r="N18" s="15">
        <v>100000</v>
      </c>
      <c r="O18" s="15">
        <v>100000</v>
      </c>
      <c r="P18" s="6" t="s">
        <v>53</v>
      </c>
      <c r="Q18" s="6" t="s">
        <v>53</v>
      </c>
      <c r="R18" s="6">
        <v>2020</v>
      </c>
      <c r="S18" s="6"/>
      <c r="T18" s="6" t="s">
        <v>54</v>
      </c>
      <c r="U18" s="6" t="s">
        <v>271</v>
      </c>
      <c r="V18" s="6" t="s">
        <v>272</v>
      </c>
      <c r="W18" s="7" t="s">
        <v>273</v>
      </c>
      <c r="X18" s="8"/>
      <c r="Y18" s="8"/>
      <c r="Z18" s="8"/>
      <c r="AA18" s="8"/>
      <c r="AB18" s="8"/>
      <c r="AC18" s="8"/>
      <c r="AD18" s="8"/>
      <c r="AE18" s="8"/>
      <c r="AF18" s="8"/>
      <c r="AG18" s="8"/>
      <c r="AH18" s="8"/>
      <c r="AI18" s="8"/>
      <c r="AJ18" s="8"/>
      <c r="AK18" s="8"/>
      <c r="AL18" s="8"/>
      <c r="AM18" s="8"/>
      <c r="AN18" s="8"/>
      <c r="AO18" s="8"/>
      <c r="AP18" s="8"/>
      <c r="AQ18" s="8"/>
      <c r="AR18" s="8"/>
      <c r="AS18" s="8"/>
    </row>
    <row r="19" spans="1:45" ht="21.75" customHeight="1" x14ac:dyDescent="0.45">
      <c r="A19" s="1" t="s">
        <v>274</v>
      </c>
      <c r="B19" s="2" t="s">
        <v>275</v>
      </c>
      <c r="C19" s="2" t="s">
        <v>276</v>
      </c>
      <c r="D19" s="2" t="s">
        <v>277</v>
      </c>
      <c r="E19" s="2" t="s">
        <v>269</v>
      </c>
      <c r="F19" s="2" t="s">
        <v>278</v>
      </c>
      <c r="G19" s="2"/>
      <c r="H19" s="2" t="s">
        <v>51</v>
      </c>
      <c r="I19" s="2" t="s">
        <v>51</v>
      </c>
      <c r="J19" s="2" t="s">
        <v>157</v>
      </c>
      <c r="K19" s="2" t="s">
        <v>175</v>
      </c>
      <c r="L19" s="23">
        <v>51.298615015257397</v>
      </c>
      <c r="M19" s="23">
        <v>7.0164637029068597</v>
      </c>
      <c r="N19" s="16">
        <v>500000</v>
      </c>
      <c r="O19" s="16" t="s">
        <v>176</v>
      </c>
      <c r="P19" s="2" t="s">
        <v>53</v>
      </c>
      <c r="Q19" s="2" t="s">
        <v>53</v>
      </c>
      <c r="R19" s="2">
        <v>2023</v>
      </c>
      <c r="S19" s="2"/>
      <c r="T19" s="2" t="s">
        <v>54</v>
      </c>
      <c r="U19" s="2" t="s">
        <v>167</v>
      </c>
      <c r="V19" s="2" t="s">
        <v>279</v>
      </c>
      <c r="W19" s="3" t="s">
        <v>280</v>
      </c>
      <c r="X19" s="4"/>
      <c r="Y19" s="4"/>
      <c r="Z19" s="4"/>
      <c r="AA19" s="4"/>
      <c r="AB19" s="4"/>
      <c r="AC19" s="4"/>
      <c r="AD19" s="4"/>
      <c r="AE19" s="4"/>
      <c r="AF19" s="4"/>
      <c r="AG19" s="4"/>
      <c r="AH19" s="4"/>
      <c r="AI19" s="4"/>
      <c r="AJ19" s="4"/>
      <c r="AK19" s="4"/>
      <c r="AL19" s="4"/>
      <c r="AM19" s="4"/>
      <c r="AN19" s="4"/>
      <c r="AO19" s="4"/>
      <c r="AP19" s="4"/>
      <c r="AQ19" s="4"/>
      <c r="AR19" s="4"/>
      <c r="AS19" s="4"/>
    </row>
    <row r="20" spans="1:45" ht="63.75" customHeight="1" x14ac:dyDescent="0.45">
      <c r="A20" s="5" t="s">
        <v>281</v>
      </c>
      <c r="B20" s="6" t="s">
        <v>282</v>
      </c>
      <c r="C20" s="6" t="s">
        <v>283</v>
      </c>
      <c r="D20" s="6" t="s">
        <v>284</v>
      </c>
      <c r="E20" s="6" t="s">
        <v>269</v>
      </c>
      <c r="F20" s="6" t="s">
        <v>285</v>
      </c>
      <c r="G20" s="6"/>
      <c r="H20" s="6" t="s">
        <v>51</v>
      </c>
      <c r="I20" s="6" t="s">
        <v>51</v>
      </c>
      <c r="J20" s="6" t="s">
        <v>157</v>
      </c>
      <c r="K20" s="6" t="s">
        <v>157</v>
      </c>
      <c r="L20" s="24">
        <v>51.612192875195703</v>
      </c>
      <c r="M20" s="24">
        <v>8.5126614693130396</v>
      </c>
      <c r="N20" s="15">
        <v>700000</v>
      </c>
      <c r="O20" s="15">
        <v>700000</v>
      </c>
      <c r="P20" s="6" t="s">
        <v>53</v>
      </c>
      <c r="Q20" s="6" t="s">
        <v>53</v>
      </c>
      <c r="R20" s="6">
        <v>2023</v>
      </c>
      <c r="S20" s="6"/>
      <c r="T20" s="6" t="s">
        <v>54</v>
      </c>
      <c r="U20" s="6" t="s">
        <v>167</v>
      </c>
      <c r="V20" s="6" t="s">
        <v>279</v>
      </c>
      <c r="W20" s="7" t="s">
        <v>286</v>
      </c>
      <c r="X20" s="8"/>
      <c r="Y20" s="8"/>
      <c r="Z20" s="8"/>
      <c r="AA20" s="8"/>
      <c r="AB20" s="8"/>
      <c r="AC20" s="8"/>
      <c r="AD20" s="8"/>
      <c r="AE20" s="8"/>
      <c r="AF20" s="8"/>
      <c r="AG20" s="8"/>
      <c r="AH20" s="8"/>
      <c r="AI20" s="8"/>
      <c r="AJ20" s="8"/>
      <c r="AK20" s="8"/>
      <c r="AL20" s="8"/>
      <c r="AM20" s="8"/>
      <c r="AN20" s="8"/>
      <c r="AO20" s="8"/>
      <c r="AP20" s="8"/>
      <c r="AQ20" s="8"/>
      <c r="AR20" s="8"/>
      <c r="AS20" s="8"/>
    </row>
    <row r="21" spans="1:45" ht="21.75" customHeight="1" x14ac:dyDescent="0.45">
      <c r="A21" s="1" t="s">
        <v>287</v>
      </c>
      <c r="B21" s="2" t="s">
        <v>288</v>
      </c>
      <c r="C21" s="2" t="s">
        <v>289</v>
      </c>
      <c r="D21" s="2" t="s">
        <v>290</v>
      </c>
      <c r="E21" s="2" t="s">
        <v>269</v>
      </c>
      <c r="F21" s="2" t="s">
        <v>291</v>
      </c>
      <c r="G21" s="2"/>
      <c r="H21" s="2" t="s">
        <v>51</v>
      </c>
      <c r="I21" s="2" t="s">
        <v>51</v>
      </c>
      <c r="J21" s="2" t="s">
        <v>157</v>
      </c>
      <c r="K21" s="2" t="s">
        <v>157</v>
      </c>
      <c r="L21" s="23">
        <v>52.487196823430303</v>
      </c>
      <c r="M21" s="23">
        <v>13.8324674947206</v>
      </c>
      <c r="N21" s="16">
        <v>1300000</v>
      </c>
      <c r="O21" s="16">
        <v>1300000</v>
      </c>
      <c r="P21" s="2" t="s">
        <v>53</v>
      </c>
      <c r="Q21" s="2" t="s">
        <v>53</v>
      </c>
      <c r="R21" s="2">
        <v>2024</v>
      </c>
      <c r="S21" s="2">
        <v>2030</v>
      </c>
      <c r="T21" s="2" t="s">
        <v>54</v>
      </c>
      <c r="U21" s="2" t="s">
        <v>292</v>
      </c>
      <c r="V21" s="2" t="s">
        <v>56</v>
      </c>
      <c r="W21" s="3" t="s">
        <v>293</v>
      </c>
      <c r="X21" s="4"/>
      <c r="Y21" s="4"/>
      <c r="Z21" s="4"/>
      <c r="AA21" s="4"/>
      <c r="AB21" s="4"/>
      <c r="AC21" s="4"/>
      <c r="AD21" s="4"/>
      <c r="AE21" s="4"/>
      <c r="AF21" s="4"/>
      <c r="AG21" s="4"/>
      <c r="AH21" s="4"/>
      <c r="AI21" s="4"/>
      <c r="AJ21" s="4"/>
      <c r="AK21" s="4"/>
      <c r="AL21" s="4"/>
      <c r="AM21" s="4"/>
      <c r="AN21" s="4"/>
      <c r="AO21" s="4"/>
      <c r="AP21" s="4"/>
      <c r="AQ21" s="4"/>
      <c r="AR21" s="4"/>
      <c r="AS21" s="4"/>
    </row>
    <row r="22" spans="1:45" ht="32.25" customHeight="1" x14ac:dyDescent="0.45">
      <c r="A22" s="5" t="s">
        <v>294</v>
      </c>
      <c r="B22" s="6" t="s">
        <v>295</v>
      </c>
      <c r="C22" s="6" t="s">
        <v>188</v>
      </c>
      <c r="D22" s="6" t="s">
        <v>296</v>
      </c>
      <c r="E22" s="6" t="s">
        <v>269</v>
      </c>
      <c r="F22" s="6" t="s">
        <v>297</v>
      </c>
      <c r="G22" s="6"/>
      <c r="H22" s="6" t="s">
        <v>51</v>
      </c>
      <c r="I22" s="6" t="s">
        <v>51</v>
      </c>
      <c r="J22" s="6" t="s">
        <v>157</v>
      </c>
      <c r="K22" s="6" t="s">
        <v>157</v>
      </c>
      <c r="L22" s="24">
        <v>52.353299999999997</v>
      </c>
      <c r="M22" s="24">
        <v>9.8890999999999991</v>
      </c>
      <c r="N22" s="15">
        <v>1300000</v>
      </c>
      <c r="O22" s="15">
        <v>1300000</v>
      </c>
      <c r="P22" s="6" t="s">
        <v>53</v>
      </c>
      <c r="Q22" s="6" t="s">
        <v>53</v>
      </c>
      <c r="R22" s="6">
        <v>2021</v>
      </c>
      <c r="S22" s="6">
        <v>2026</v>
      </c>
      <c r="T22" s="6" t="s">
        <v>54</v>
      </c>
      <c r="U22" s="6" t="s">
        <v>298</v>
      </c>
      <c r="V22" s="6"/>
      <c r="W22" s="7" t="s">
        <v>299</v>
      </c>
      <c r="X22" s="8"/>
      <c r="Y22" s="8"/>
      <c r="Z22" s="8"/>
      <c r="AA22" s="8"/>
      <c r="AB22" s="8"/>
      <c r="AC22" s="8"/>
      <c r="AD22" s="8"/>
      <c r="AE22" s="8"/>
      <c r="AF22" s="8"/>
      <c r="AG22" s="8"/>
      <c r="AH22" s="8"/>
      <c r="AI22" s="8"/>
      <c r="AJ22" s="8"/>
      <c r="AK22" s="8"/>
      <c r="AL22" s="8"/>
      <c r="AM22" s="8"/>
      <c r="AN22" s="8"/>
      <c r="AO22" s="8"/>
      <c r="AP22" s="8"/>
      <c r="AQ22" s="8"/>
      <c r="AR22" s="8"/>
      <c r="AS22" s="8"/>
    </row>
    <row r="23" spans="1:45" ht="21.75" customHeight="1" x14ac:dyDescent="0.45">
      <c r="A23" s="1" t="s">
        <v>300</v>
      </c>
      <c r="B23" s="2" t="s">
        <v>301</v>
      </c>
      <c r="C23" s="2" t="s">
        <v>302</v>
      </c>
      <c r="D23" s="2" t="s">
        <v>303</v>
      </c>
      <c r="E23" s="2" t="s">
        <v>269</v>
      </c>
      <c r="F23" s="2" t="s">
        <v>304</v>
      </c>
      <c r="G23" s="2"/>
      <c r="H23" s="2" t="s">
        <v>51</v>
      </c>
      <c r="I23" s="2" t="s">
        <v>51</v>
      </c>
      <c r="J23" s="2" t="s">
        <v>157</v>
      </c>
      <c r="K23" s="2" t="s">
        <v>157</v>
      </c>
      <c r="L23" s="23">
        <v>51.362000000000002</v>
      </c>
      <c r="M23" s="23">
        <v>10.483499999999999</v>
      </c>
      <c r="N23" s="16">
        <v>620000</v>
      </c>
      <c r="O23" s="16">
        <v>620000</v>
      </c>
      <c r="P23" s="2" t="s">
        <v>53</v>
      </c>
      <c r="Q23" s="2" t="s">
        <v>53</v>
      </c>
      <c r="R23" s="2">
        <v>2024</v>
      </c>
      <c r="S23" s="2">
        <v>2029</v>
      </c>
      <c r="T23" s="2" t="s">
        <v>54</v>
      </c>
      <c r="U23" s="2" t="s">
        <v>305</v>
      </c>
      <c r="V23" s="2" t="s">
        <v>168</v>
      </c>
      <c r="W23" s="3" t="s">
        <v>306</v>
      </c>
      <c r="X23" s="4"/>
      <c r="Y23" s="4"/>
      <c r="Z23" s="4"/>
      <c r="AA23" s="4"/>
      <c r="AB23" s="4"/>
      <c r="AC23" s="4"/>
      <c r="AD23" s="4"/>
      <c r="AE23" s="4"/>
      <c r="AF23" s="4"/>
      <c r="AG23" s="4"/>
      <c r="AH23" s="4"/>
      <c r="AI23" s="4"/>
      <c r="AJ23" s="4"/>
      <c r="AK23" s="4"/>
      <c r="AL23" s="4"/>
      <c r="AM23" s="4"/>
      <c r="AN23" s="4"/>
      <c r="AO23" s="4"/>
      <c r="AP23" s="4"/>
      <c r="AQ23" s="4"/>
      <c r="AR23" s="4"/>
      <c r="AS23" s="4"/>
    </row>
    <row r="24" spans="1:45" ht="32.25" customHeight="1" x14ac:dyDescent="0.45">
      <c r="A24" s="5" t="s">
        <v>483</v>
      </c>
      <c r="B24" s="6" t="s">
        <v>484</v>
      </c>
      <c r="C24" s="6" t="s">
        <v>485</v>
      </c>
      <c r="D24" s="6" t="s">
        <v>486</v>
      </c>
      <c r="E24" s="6" t="s">
        <v>269</v>
      </c>
      <c r="F24" s="6" t="s">
        <v>487</v>
      </c>
      <c r="G24" s="6"/>
      <c r="H24" s="6" t="s">
        <v>51</v>
      </c>
      <c r="I24" s="6" t="s">
        <v>51</v>
      </c>
      <c r="J24" s="6" t="s">
        <v>476</v>
      </c>
      <c r="K24" s="6" t="s">
        <v>476</v>
      </c>
      <c r="L24" s="24">
        <v>53.549638999999999</v>
      </c>
      <c r="M24" s="24">
        <v>8.1533040000000003</v>
      </c>
      <c r="N24" s="15">
        <v>1300000</v>
      </c>
      <c r="O24" s="15">
        <v>1300000</v>
      </c>
      <c r="P24" s="6" t="s">
        <v>75</v>
      </c>
      <c r="Q24" s="6" t="s">
        <v>75</v>
      </c>
      <c r="R24" s="6">
        <v>2022</v>
      </c>
      <c r="S24" s="6"/>
      <c r="T24" s="6" t="s">
        <v>54</v>
      </c>
      <c r="U24" s="6"/>
      <c r="V24" s="6"/>
      <c r="W24" s="7" t="s">
        <v>488</v>
      </c>
      <c r="X24" s="8"/>
      <c r="Y24" s="8"/>
      <c r="Z24" s="8"/>
      <c r="AA24" s="8"/>
      <c r="AB24" s="8"/>
      <c r="AC24" s="8"/>
      <c r="AD24" s="8"/>
      <c r="AE24" s="8"/>
      <c r="AF24" s="8"/>
      <c r="AG24" s="8"/>
      <c r="AH24" s="8"/>
      <c r="AI24" s="8"/>
      <c r="AJ24" s="8"/>
      <c r="AK24" s="8"/>
      <c r="AL24" s="8"/>
      <c r="AM24" s="8"/>
      <c r="AN24" s="8"/>
      <c r="AO24" s="8"/>
      <c r="AP24" s="8"/>
      <c r="AQ24" s="8"/>
      <c r="AR24" s="8"/>
      <c r="AS24" s="8"/>
    </row>
    <row r="25" spans="1:45" ht="21.75" customHeight="1" x14ac:dyDescent="0.45">
      <c r="A25" s="1" t="s">
        <v>489</v>
      </c>
      <c r="B25" s="2" t="s">
        <v>490</v>
      </c>
      <c r="C25" s="2" t="s">
        <v>491</v>
      </c>
      <c r="D25" s="2" t="s">
        <v>486</v>
      </c>
      <c r="E25" s="2" t="s">
        <v>269</v>
      </c>
      <c r="F25" s="2" t="s">
        <v>492</v>
      </c>
      <c r="G25" s="2"/>
      <c r="H25" s="2" t="s">
        <v>51</v>
      </c>
      <c r="I25" s="2" t="s">
        <v>51</v>
      </c>
      <c r="J25" s="2" t="s">
        <v>476</v>
      </c>
      <c r="K25" s="2" t="s">
        <v>476</v>
      </c>
      <c r="L25" s="23">
        <v>54.158548000000003</v>
      </c>
      <c r="M25" s="23">
        <v>12.097412</v>
      </c>
      <c r="N25" s="16">
        <v>2000000</v>
      </c>
      <c r="O25" s="16">
        <v>2000000</v>
      </c>
      <c r="P25" s="2" t="s">
        <v>75</v>
      </c>
      <c r="Q25" s="2" t="s">
        <v>75</v>
      </c>
      <c r="R25" s="2">
        <v>2022</v>
      </c>
      <c r="S25" s="2"/>
      <c r="T25" s="2" t="s">
        <v>54</v>
      </c>
      <c r="U25" s="2"/>
      <c r="V25" s="2"/>
      <c r="W25" s="3" t="s">
        <v>493</v>
      </c>
      <c r="X25" s="4"/>
      <c r="Y25" s="4"/>
      <c r="Z25" s="4"/>
      <c r="AA25" s="4"/>
      <c r="AB25" s="4"/>
      <c r="AC25" s="4"/>
      <c r="AD25" s="4"/>
      <c r="AE25" s="4"/>
      <c r="AF25" s="4"/>
      <c r="AG25" s="4"/>
      <c r="AH25" s="4"/>
      <c r="AI25" s="4"/>
      <c r="AJ25" s="4"/>
      <c r="AK25" s="4"/>
      <c r="AL25" s="4"/>
      <c r="AM25" s="4"/>
      <c r="AN25" s="4"/>
      <c r="AO25" s="4"/>
      <c r="AP25" s="4"/>
      <c r="AQ25" s="4"/>
      <c r="AR25" s="4"/>
      <c r="AS25" s="4"/>
    </row>
    <row r="26" spans="1:45" ht="21.75" customHeight="1" x14ac:dyDescent="0.45">
      <c r="A26" s="5" t="s">
        <v>1119</v>
      </c>
      <c r="B26" s="6" t="s">
        <v>1120</v>
      </c>
      <c r="C26" s="6" t="s">
        <v>1121</v>
      </c>
      <c r="D26" s="6" t="s">
        <v>1122</v>
      </c>
      <c r="E26" s="6" t="s">
        <v>269</v>
      </c>
      <c r="F26" s="6" t="s">
        <v>487</v>
      </c>
      <c r="G26" s="6"/>
      <c r="H26" s="6" t="s">
        <v>51</v>
      </c>
      <c r="I26" s="6" t="s">
        <v>51</v>
      </c>
      <c r="J26" s="6" t="s">
        <v>1033</v>
      </c>
      <c r="K26" s="6" t="s">
        <v>1123</v>
      </c>
      <c r="L26" s="24">
        <v>53.568539999999999</v>
      </c>
      <c r="M26" s="24">
        <v>8.1246200000000002</v>
      </c>
      <c r="N26" s="15">
        <v>4300000</v>
      </c>
      <c r="O26" s="15">
        <v>4300000</v>
      </c>
      <c r="P26" s="6" t="s">
        <v>53</v>
      </c>
      <c r="Q26" s="6" t="s">
        <v>53</v>
      </c>
      <c r="R26" s="6">
        <v>2022</v>
      </c>
      <c r="S26" s="6"/>
      <c r="T26" s="6" t="s">
        <v>54</v>
      </c>
      <c r="U26" s="6"/>
      <c r="V26" s="6"/>
      <c r="W26" s="7" t="s">
        <v>1124</v>
      </c>
      <c r="X26" s="8"/>
      <c r="Y26" s="8"/>
      <c r="Z26" s="8"/>
      <c r="AA26" s="8"/>
      <c r="AB26" s="8"/>
      <c r="AC26" s="8"/>
      <c r="AD26" s="8"/>
      <c r="AE26" s="8"/>
      <c r="AF26" s="8"/>
      <c r="AG26" s="8"/>
      <c r="AH26" s="8"/>
      <c r="AI26" s="8"/>
      <c r="AJ26" s="8"/>
      <c r="AK26" s="8"/>
      <c r="AL26" s="8"/>
      <c r="AM26" s="8"/>
      <c r="AN26" s="8"/>
      <c r="AO26" s="8"/>
      <c r="AP26" s="8"/>
      <c r="AQ26" s="8"/>
      <c r="AR26" s="8"/>
      <c r="AS26" s="8"/>
    </row>
    <row r="27" spans="1:45" ht="53.25" customHeight="1" x14ac:dyDescent="0.45">
      <c r="A27" s="1" t="s">
        <v>1125</v>
      </c>
      <c r="B27" s="2" t="s">
        <v>1126</v>
      </c>
      <c r="C27" s="2" t="s">
        <v>1127</v>
      </c>
      <c r="D27" s="2" t="s">
        <v>1128</v>
      </c>
      <c r="E27" s="2" t="s">
        <v>269</v>
      </c>
      <c r="F27" s="2" t="s">
        <v>1129</v>
      </c>
      <c r="G27" s="2"/>
      <c r="H27" s="2" t="s">
        <v>51</v>
      </c>
      <c r="I27" s="2" t="s">
        <v>51</v>
      </c>
      <c r="J27" s="2" t="s">
        <v>1033</v>
      </c>
      <c r="K27" s="2" t="s">
        <v>1078</v>
      </c>
      <c r="L27" s="23">
        <v>53.571894</v>
      </c>
      <c r="M27" s="23">
        <v>8.5585070000000005</v>
      </c>
      <c r="N27" s="16">
        <v>2000000</v>
      </c>
      <c r="O27" s="16">
        <v>2000000</v>
      </c>
      <c r="P27" s="2" t="s">
        <v>53</v>
      </c>
      <c r="Q27" s="2" t="s">
        <v>53</v>
      </c>
      <c r="R27" s="2"/>
      <c r="S27" s="2"/>
      <c r="T27" s="2" t="s">
        <v>98</v>
      </c>
      <c r="U27" s="2"/>
      <c r="V27" s="2"/>
      <c r="W27" s="2" t="s">
        <v>1130</v>
      </c>
      <c r="X27" s="4"/>
      <c r="Y27" s="4"/>
      <c r="Z27" s="4"/>
      <c r="AA27" s="4"/>
      <c r="AB27" s="4"/>
      <c r="AC27" s="4"/>
      <c r="AD27" s="4"/>
      <c r="AE27" s="4"/>
      <c r="AF27" s="4"/>
      <c r="AG27" s="4"/>
      <c r="AH27" s="4"/>
      <c r="AI27" s="4"/>
      <c r="AJ27" s="4"/>
      <c r="AK27" s="4"/>
      <c r="AL27" s="4"/>
      <c r="AM27" s="4"/>
      <c r="AN27" s="4"/>
      <c r="AO27" s="4"/>
      <c r="AP27" s="4"/>
      <c r="AQ27" s="4"/>
      <c r="AR27" s="4"/>
      <c r="AS27" s="4"/>
    </row>
    <row r="28" spans="1:45" ht="42.75" customHeight="1" x14ac:dyDescent="0.45">
      <c r="A28" s="5" t="s">
        <v>1131</v>
      </c>
      <c r="B28" s="6" t="s">
        <v>1132</v>
      </c>
      <c r="C28" s="6" t="s">
        <v>1133</v>
      </c>
      <c r="D28" s="6" t="s">
        <v>1134</v>
      </c>
      <c r="E28" s="6" t="s">
        <v>269</v>
      </c>
      <c r="F28" s="6" t="s">
        <v>1135</v>
      </c>
      <c r="G28" s="6"/>
      <c r="H28" s="6" t="s">
        <v>51</v>
      </c>
      <c r="I28" s="6" t="s">
        <v>51</v>
      </c>
      <c r="J28" s="6" t="s">
        <v>1033</v>
      </c>
      <c r="K28" s="6" t="s">
        <v>1034</v>
      </c>
      <c r="L28" s="24">
        <v>53.912289999999999</v>
      </c>
      <c r="M28" s="24">
        <v>9.1852319999999992</v>
      </c>
      <c r="N28" s="15">
        <v>0</v>
      </c>
      <c r="O28" s="15" t="s">
        <v>176</v>
      </c>
      <c r="P28" s="6" t="s">
        <v>53</v>
      </c>
      <c r="Q28" s="6" t="s">
        <v>53</v>
      </c>
      <c r="R28" s="6"/>
      <c r="S28" s="6"/>
      <c r="T28" s="6" t="s">
        <v>98</v>
      </c>
      <c r="U28" s="6"/>
      <c r="V28" s="6"/>
      <c r="W28" s="6" t="s">
        <v>1136</v>
      </c>
      <c r="X28" s="8"/>
      <c r="Y28" s="8"/>
      <c r="Z28" s="8"/>
      <c r="AA28" s="8"/>
      <c r="AB28" s="8"/>
      <c r="AC28" s="8"/>
      <c r="AD28" s="8"/>
      <c r="AE28" s="8"/>
      <c r="AF28" s="8"/>
      <c r="AG28" s="8"/>
      <c r="AH28" s="8"/>
      <c r="AI28" s="8"/>
      <c r="AJ28" s="8"/>
      <c r="AK28" s="8"/>
      <c r="AL28" s="8"/>
      <c r="AM28" s="8"/>
      <c r="AN28" s="8"/>
      <c r="AO28" s="8"/>
      <c r="AP28" s="8"/>
      <c r="AQ28" s="8"/>
      <c r="AR28" s="8"/>
      <c r="AS28" s="8"/>
    </row>
    <row r="29" spans="1:45" ht="21.75" customHeight="1" x14ac:dyDescent="0.45">
      <c r="A29" s="1" t="s">
        <v>1137</v>
      </c>
      <c r="B29" s="2" t="s">
        <v>1138</v>
      </c>
      <c r="C29" s="2" t="s">
        <v>1139</v>
      </c>
      <c r="D29" s="2" t="s">
        <v>1140</v>
      </c>
      <c r="E29" s="2" t="s">
        <v>269</v>
      </c>
      <c r="F29" s="2" t="s">
        <v>492</v>
      </c>
      <c r="G29" s="2"/>
      <c r="H29" s="2" t="s">
        <v>51</v>
      </c>
      <c r="I29" s="2" t="s">
        <v>51</v>
      </c>
      <c r="J29" s="2" t="s">
        <v>1033</v>
      </c>
      <c r="K29" s="2" t="s">
        <v>1141</v>
      </c>
      <c r="L29" s="23">
        <v>54.150137999999998</v>
      </c>
      <c r="M29" s="23">
        <v>12.106883</v>
      </c>
      <c r="N29" s="16">
        <v>0</v>
      </c>
      <c r="O29" s="16" t="s">
        <v>176</v>
      </c>
      <c r="P29" s="2" t="s">
        <v>53</v>
      </c>
      <c r="Q29" s="2" t="s">
        <v>53</v>
      </c>
      <c r="R29" s="2"/>
      <c r="S29" s="2"/>
      <c r="T29" s="2" t="s">
        <v>98</v>
      </c>
      <c r="U29" s="2"/>
      <c r="V29" s="2"/>
      <c r="W29" s="2" t="s">
        <v>1142</v>
      </c>
      <c r="X29" s="4"/>
      <c r="Y29" s="4"/>
      <c r="Z29" s="4"/>
      <c r="AA29" s="4"/>
      <c r="AB29" s="4"/>
      <c r="AC29" s="4"/>
      <c r="AD29" s="4"/>
      <c r="AE29" s="4"/>
      <c r="AF29" s="4"/>
      <c r="AG29" s="4"/>
      <c r="AH29" s="4"/>
      <c r="AI29" s="4"/>
      <c r="AJ29" s="4"/>
      <c r="AK29" s="4"/>
      <c r="AL29" s="4"/>
      <c r="AM29" s="4"/>
      <c r="AN29" s="4"/>
      <c r="AO29" s="4"/>
      <c r="AP29" s="4"/>
      <c r="AQ29" s="4"/>
      <c r="AR29" s="4"/>
      <c r="AS29" s="4"/>
    </row>
    <row r="30" spans="1:45" ht="21.75" customHeight="1" x14ac:dyDescent="0.45">
      <c r="A30" s="1" t="s">
        <v>1470</v>
      </c>
      <c r="B30" s="2" t="s">
        <v>1471</v>
      </c>
      <c r="C30" s="9" t="s">
        <v>1472</v>
      </c>
      <c r="D30" s="10" t="s">
        <v>1473</v>
      </c>
      <c r="E30" s="2" t="s">
        <v>269</v>
      </c>
      <c r="F30" s="9" t="s">
        <v>1474</v>
      </c>
      <c r="G30" s="2"/>
      <c r="H30" s="2" t="s">
        <v>51</v>
      </c>
      <c r="I30" s="2" t="s">
        <v>51</v>
      </c>
      <c r="J30" s="2" t="s">
        <v>157</v>
      </c>
      <c r="K30" s="9" t="s">
        <v>157</v>
      </c>
      <c r="L30" s="23">
        <v>53.87724</v>
      </c>
      <c r="M30" s="23">
        <v>9.5800599999999996</v>
      </c>
      <c r="N30" s="15">
        <v>1200000</v>
      </c>
      <c r="O30" s="15">
        <v>1200000</v>
      </c>
      <c r="P30" s="2" t="s">
        <v>53</v>
      </c>
      <c r="Q30" s="9" t="s">
        <v>53</v>
      </c>
      <c r="R30" s="2"/>
      <c r="S30" s="2"/>
      <c r="T30" s="2" t="s">
        <v>98</v>
      </c>
      <c r="U30" s="2"/>
      <c r="V30" s="2"/>
      <c r="W30" s="12" t="s">
        <v>1475</v>
      </c>
      <c r="X30" s="4"/>
      <c r="Y30" s="4"/>
      <c r="Z30" s="4"/>
      <c r="AA30" s="4"/>
      <c r="AB30" s="4"/>
      <c r="AC30" s="4"/>
      <c r="AD30" s="4"/>
      <c r="AE30" s="4"/>
      <c r="AF30" s="4"/>
      <c r="AG30" s="4"/>
      <c r="AH30" s="4"/>
      <c r="AI30" s="4"/>
      <c r="AJ30" s="4"/>
      <c r="AK30" s="4"/>
      <c r="AL30" s="4"/>
      <c r="AM30" s="4"/>
      <c r="AN30" s="4"/>
      <c r="AO30" s="4"/>
      <c r="AP30" s="4"/>
      <c r="AQ30" s="4"/>
      <c r="AR30" s="4"/>
      <c r="AS30" s="4"/>
    </row>
    <row r="31" spans="1:45" ht="53.25" customHeight="1" x14ac:dyDescent="0.45">
      <c r="A31" s="5" t="s">
        <v>78</v>
      </c>
      <c r="B31" s="6" t="s">
        <v>79</v>
      </c>
      <c r="C31" s="6" t="s">
        <v>80</v>
      </c>
      <c r="D31" s="6" t="s">
        <v>81</v>
      </c>
      <c r="E31" s="6" t="s">
        <v>82</v>
      </c>
      <c r="F31" s="6" t="s">
        <v>83</v>
      </c>
      <c r="G31" s="6"/>
      <c r="H31" s="6" t="s">
        <v>84</v>
      </c>
      <c r="I31" s="6" t="s">
        <v>84</v>
      </c>
      <c r="J31" s="6" t="s">
        <v>85</v>
      </c>
      <c r="K31" s="6" t="s">
        <v>85</v>
      </c>
      <c r="L31" s="24">
        <v>55.660737995269997</v>
      </c>
      <c r="M31" s="24">
        <v>11.084390205442499</v>
      </c>
      <c r="N31" s="16">
        <v>280000</v>
      </c>
      <c r="O31" s="16">
        <v>280000</v>
      </c>
      <c r="P31" s="6" t="s">
        <v>75</v>
      </c>
      <c r="Q31" s="6" t="s">
        <v>75</v>
      </c>
      <c r="R31" s="6">
        <v>2023</v>
      </c>
      <c r="S31" s="6"/>
      <c r="T31" s="6" t="s">
        <v>86</v>
      </c>
      <c r="U31" s="6"/>
      <c r="V31" s="6"/>
      <c r="W31" s="11" t="s">
        <v>87</v>
      </c>
      <c r="X31" s="8"/>
      <c r="Y31" s="8"/>
      <c r="Z31" s="8"/>
      <c r="AA31" s="8"/>
      <c r="AB31" s="8"/>
      <c r="AC31" s="8"/>
      <c r="AD31" s="8"/>
      <c r="AE31" s="8"/>
      <c r="AF31" s="8"/>
      <c r="AG31" s="8"/>
      <c r="AH31" s="8"/>
      <c r="AI31" s="8"/>
      <c r="AJ31" s="8"/>
      <c r="AK31" s="8"/>
      <c r="AL31" s="8"/>
      <c r="AM31" s="8"/>
      <c r="AN31" s="8"/>
      <c r="AO31" s="8"/>
      <c r="AP31" s="8"/>
      <c r="AQ31" s="8"/>
      <c r="AR31" s="8"/>
      <c r="AS31" s="8"/>
    </row>
    <row r="32" spans="1:45" ht="21.75" customHeight="1" x14ac:dyDescent="0.45">
      <c r="A32" s="1" t="s">
        <v>88</v>
      </c>
      <c r="B32" s="2" t="s">
        <v>89</v>
      </c>
      <c r="C32" s="2" t="s">
        <v>80</v>
      </c>
      <c r="D32" s="2" t="s">
        <v>90</v>
      </c>
      <c r="E32" s="2" t="s">
        <v>82</v>
      </c>
      <c r="F32" s="2" t="s">
        <v>91</v>
      </c>
      <c r="G32" s="2"/>
      <c r="H32" s="2" t="s">
        <v>84</v>
      </c>
      <c r="I32" s="2" t="s">
        <v>84</v>
      </c>
      <c r="J32" s="2" t="s">
        <v>85</v>
      </c>
      <c r="K32" s="2" t="s">
        <v>85</v>
      </c>
      <c r="L32" s="23">
        <v>55.603262999999998</v>
      </c>
      <c r="M32" s="23">
        <v>12.483701999999999</v>
      </c>
      <c r="N32" s="15">
        <v>150000</v>
      </c>
      <c r="O32" s="15">
        <v>150000</v>
      </c>
      <c r="P32" s="2" t="s">
        <v>75</v>
      </c>
      <c r="Q32" s="2" t="s">
        <v>75</v>
      </c>
      <c r="R32" s="2">
        <v>2023</v>
      </c>
      <c r="S32" s="2"/>
      <c r="T32" s="2" t="s">
        <v>86</v>
      </c>
      <c r="U32" s="2" t="s">
        <v>92</v>
      </c>
      <c r="V32" s="2"/>
      <c r="W32" s="3" t="s">
        <v>87</v>
      </c>
      <c r="X32" s="4"/>
      <c r="Y32" s="4"/>
      <c r="Z32" s="4"/>
      <c r="AA32" s="4"/>
      <c r="AB32" s="4"/>
      <c r="AC32" s="4"/>
      <c r="AD32" s="4"/>
      <c r="AE32" s="4"/>
      <c r="AF32" s="4"/>
      <c r="AG32" s="4"/>
      <c r="AH32" s="4"/>
      <c r="AI32" s="4"/>
      <c r="AJ32" s="4"/>
      <c r="AK32" s="4"/>
      <c r="AL32" s="4"/>
      <c r="AM32" s="4"/>
      <c r="AN32" s="4"/>
      <c r="AO32" s="4"/>
      <c r="AP32" s="4"/>
      <c r="AQ32" s="4"/>
      <c r="AR32" s="4"/>
      <c r="AS32" s="4"/>
    </row>
    <row r="33" spans="1:45" ht="63.75" customHeight="1" x14ac:dyDescent="0.45">
      <c r="A33" s="5" t="s">
        <v>93</v>
      </c>
      <c r="B33" s="6" t="s">
        <v>94</v>
      </c>
      <c r="C33" s="6" t="s">
        <v>95</v>
      </c>
      <c r="D33" s="6" t="s">
        <v>96</v>
      </c>
      <c r="E33" s="6" t="s">
        <v>82</v>
      </c>
      <c r="F33" s="6" t="s">
        <v>97</v>
      </c>
      <c r="G33" s="6"/>
      <c r="H33" s="6" t="s">
        <v>84</v>
      </c>
      <c r="I33" s="6" t="s">
        <v>84</v>
      </c>
      <c r="J33" s="6" t="s">
        <v>85</v>
      </c>
      <c r="K33" s="6" t="s">
        <v>85</v>
      </c>
      <c r="L33" s="24">
        <v>55.395000000000003</v>
      </c>
      <c r="M33" s="24">
        <v>10.427</v>
      </c>
      <c r="N33" s="16">
        <v>450000</v>
      </c>
      <c r="O33" s="16">
        <v>450000</v>
      </c>
      <c r="P33" s="6" t="s">
        <v>75</v>
      </c>
      <c r="Q33" s="6" t="s">
        <v>75</v>
      </c>
      <c r="R33" s="6">
        <v>2022</v>
      </c>
      <c r="S33" s="6">
        <v>2029</v>
      </c>
      <c r="T33" s="6" t="s">
        <v>98</v>
      </c>
      <c r="U33" s="6" t="s">
        <v>99</v>
      </c>
      <c r="V33" s="6"/>
      <c r="W33" s="6" t="s">
        <v>100</v>
      </c>
      <c r="X33" s="8"/>
      <c r="Y33" s="8"/>
      <c r="Z33" s="8"/>
      <c r="AA33" s="8"/>
      <c r="AB33" s="8"/>
      <c r="AC33" s="8"/>
      <c r="AD33" s="8"/>
      <c r="AE33" s="8"/>
      <c r="AF33" s="8"/>
      <c r="AG33" s="8"/>
      <c r="AH33" s="8"/>
      <c r="AI33" s="8"/>
      <c r="AJ33" s="8"/>
      <c r="AK33" s="8"/>
      <c r="AL33" s="8"/>
      <c r="AM33" s="8"/>
      <c r="AN33" s="8"/>
      <c r="AO33" s="8"/>
      <c r="AP33" s="8"/>
      <c r="AQ33" s="8"/>
      <c r="AR33" s="8"/>
      <c r="AS33" s="8"/>
    </row>
    <row r="34" spans="1:45" ht="42.75" customHeight="1" x14ac:dyDescent="0.45">
      <c r="A34" s="1" t="s">
        <v>101</v>
      </c>
      <c r="B34" s="2" t="s">
        <v>102</v>
      </c>
      <c r="C34" s="2" t="s">
        <v>103</v>
      </c>
      <c r="D34" s="2" t="s">
        <v>104</v>
      </c>
      <c r="E34" s="2" t="s">
        <v>82</v>
      </c>
      <c r="F34" s="2" t="s">
        <v>105</v>
      </c>
      <c r="G34" s="2"/>
      <c r="H34" s="2" t="s">
        <v>84</v>
      </c>
      <c r="I34" s="2" t="s">
        <v>84</v>
      </c>
      <c r="J34" s="2" t="s">
        <v>85</v>
      </c>
      <c r="K34" s="2" t="s">
        <v>85</v>
      </c>
      <c r="L34" s="23">
        <v>55.661000000000001</v>
      </c>
      <c r="M34" s="23">
        <v>12.614000000000001</v>
      </c>
      <c r="N34" s="15">
        <v>900000</v>
      </c>
      <c r="O34" s="15">
        <v>900000</v>
      </c>
      <c r="P34" s="2" t="s">
        <v>75</v>
      </c>
      <c r="Q34" s="2" t="s">
        <v>75</v>
      </c>
      <c r="R34" s="2">
        <v>2023</v>
      </c>
      <c r="S34" s="2">
        <v>2026</v>
      </c>
      <c r="T34" s="2" t="s">
        <v>98</v>
      </c>
      <c r="U34" s="2" t="s">
        <v>106</v>
      </c>
      <c r="V34" s="2" t="s">
        <v>107</v>
      </c>
      <c r="W34" s="2" t="s">
        <v>108</v>
      </c>
      <c r="X34" s="4"/>
      <c r="Y34" s="4"/>
      <c r="Z34" s="4"/>
      <c r="AA34" s="4"/>
      <c r="AB34" s="4"/>
      <c r="AC34" s="4"/>
      <c r="AD34" s="4"/>
      <c r="AE34" s="4"/>
      <c r="AF34" s="4"/>
      <c r="AG34" s="4"/>
      <c r="AH34" s="4"/>
      <c r="AI34" s="4"/>
      <c r="AJ34" s="4"/>
      <c r="AK34" s="4"/>
      <c r="AL34" s="4"/>
      <c r="AM34" s="4"/>
      <c r="AN34" s="4"/>
      <c r="AO34" s="4"/>
      <c r="AP34" s="4"/>
      <c r="AQ34" s="4"/>
      <c r="AR34" s="4"/>
      <c r="AS34" s="4"/>
    </row>
    <row r="35" spans="1:45" ht="42.75" customHeight="1" x14ac:dyDescent="0.45">
      <c r="A35" s="1" t="s">
        <v>210</v>
      </c>
      <c r="B35" s="2" t="s">
        <v>211</v>
      </c>
      <c r="C35" s="2" t="s">
        <v>212</v>
      </c>
      <c r="D35" s="2" t="s">
        <v>213</v>
      </c>
      <c r="E35" s="2" t="s">
        <v>82</v>
      </c>
      <c r="F35" s="2" t="s">
        <v>82</v>
      </c>
      <c r="G35" s="2"/>
      <c r="H35" s="2" t="s">
        <v>51</v>
      </c>
      <c r="I35" s="2" t="s">
        <v>51</v>
      </c>
      <c r="J35" s="2" t="s">
        <v>157</v>
      </c>
      <c r="K35" s="2" t="s">
        <v>157</v>
      </c>
      <c r="L35" s="23">
        <v>57.062501769999997</v>
      </c>
      <c r="M35" s="23">
        <v>9.9722685020000004</v>
      </c>
      <c r="N35" s="16">
        <v>500000</v>
      </c>
      <c r="O35" s="16">
        <v>500000</v>
      </c>
      <c r="P35" s="2" t="s">
        <v>75</v>
      </c>
      <c r="Q35" s="2" t="s">
        <v>75</v>
      </c>
      <c r="R35" s="2">
        <v>2021</v>
      </c>
      <c r="S35" s="2"/>
      <c r="T35" s="2" t="s">
        <v>54</v>
      </c>
      <c r="U35" s="2" t="s">
        <v>214</v>
      </c>
      <c r="V35" s="2"/>
      <c r="W35" s="3" t="s">
        <v>215</v>
      </c>
      <c r="X35" s="4"/>
      <c r="Y35" s="4"/>
      <c r="Z35" s="4"/>
      <c r="AA35" s="4"/>
      <c r="AB35" s="4"/>
      <c r="AC35" s="4"/>
      <c r="AD35" s="4"/>
      <c r="AE35" s="4"/>
      <c r="AF35" s="4"/>
      <c r="AG35" s="4"/>
      <c r="AH35" s="4"/>
      <c r="AI35" s="4"/>
      <c r="AJ35" s="4"/>
      <c r="AK35" s="4"/>
      <c r="AL35" s="4"/>
      <c r="AM35" s="4"/>
      <c r="AN35" s="4"/>
      <c r="AO35" s="4"/>
      <c r="AP35" s="4"/>
      <c r="AQ35" s="4"/>
      <c r="AR35" s="4"/>
      <c r="AS35" s="4"/>
    </row>
    <row r="36" spans="1:45" ht="74.25" customHeight="1" x14ac:dyDescent="0.45">
      <c r="A36" s="5" t="s">
        <v>704</v>
      </c>
      <c r="B36" s="6" t="s">
        <v>705</v>
      </c>
      <c r="C36" s="6" t="s">
        <v>706</v>
      </c>
      <c r="D36" s="6" t="s">
        <v>707</v>
      </c>
      <c r="E36" s="6" t="s">
        <v>82</v>
      </c>
      <c r="F36" s="6" t="s">
        <v>83</v>
      </c>
      <c r="G36" s="6"/>
      <c r="H36" s="6" t="s">
        <v>51</v>
      </c>
      <c r="I36" s="6" t="s">
        <v>51</v>
      </c>
      <c r="J36" s="6" t="s">
        <v>688</v>
      </c>
      <c r="K36" s="6" t="s">
        <v>695</v>
      </c>
      <c r="L36" s="24">
        <v>55.656199999999998</v>
      </c>
      <c r="M36" s="24">
        <v>11.096399999999999</v>
      </c>
      <c r="N36" s="16">
        <v>200000</v>
      </c>
      <c r="O36" s="16">
        <v>200000</v>
      </c>
      <c r="P36" s="6" t="s">
        <v>75</v>
      </c>
      <c r="Q36" s="6" t="s">
        <v>75</v>
      </c>
      <c r="R36" s="6"/>
      <c r="S36" s="6">
        <v>2029</v>
      </c>
      <c r="T36" s="6" t="s">
        <v>98</v>
      </c>
      <c r="U36" s="6" t="s">
        <v>99</v>
      </c>
      <c r="V36" s="6"/>
      <c r="W36" s="6" t="s">
        <v>708</v>
      </c>
      <c r="X36" s="8"/>
      <c r="Y36" s="8"/>
      <c r="Z36" s="8"/>
      <c r="AA36" s="8"/>
      <c r="AB36" s="8"/>
      <c r="AC36" s="8"/>
      <c r="AD36" s="8"/>
      <c r="AE36" s="8"/>
      <c r="AF36" s="8"/>
      <c r="AG36" s="8"/>
      <c r="AH36" s="8"/>
      <c r="AI36" s="8"/>
      <c r="AJ36" s="8"/>
      <c r="AK36" s="8"/>
      <c r="AL36" s="8"/>
      <c r="AM36" s="8"/>
      <c r="AN36" s="8"/>
      <c r="AO36" s="8"/>
      <c r="AP36" s="8"/>
      <c r="AQ36" s="8"/>
      <c r="AR36" s="8"/>
      <c r="AS36" s="8"/>
    </row>
    <row r="37" spans="1:45" ht="63.75" customHeight="1" x14ac:dyDescent="0.45">
      <c r="A37" s="5" t="s">
        <v>845</v>
      </c>
      <c r="B37" s="6" t="s">
        <v>846</v>
      </c>
      <c r="C37" s="6" t="s">
        <v>847</v>
      </c>
      <c r="D37" s="6" t="s">
        <v>848</v>
      </c>
      <c r="E37" s="6" t="s">
        <v>82</v>
      </c>
      <c r="F37" s="6" t="s">
        <v>849</v>
      </c>
      <c r="G37" s="6"/>
      <c r="H37" s="6" t="s">
        <v>844</v>
      </c>
      <c r="I37" s="6" t="s">
        <v>844</v>
      </c>
      <c r="J37" s="6" t="s">
        <v>844</v>
      </c>
      <c r="K37" s="6" t="s">
        <v>844</v>
      </c>
      <c r="L37" s="24">
        <v>54.637608059999998</v>
      </c>
      <c r="M37" s="24">
        <v>11.459127329999999</v>
      </c>
      <c r="N37" s="16">
        <v>7500000</v>
      </c>
      <c r="O37" s="16" t="s">
        <v>850</v>
      </c>
      <c r="P37" s="6" t="s">
        <v>75</v>
      </c>
      <c r="Q37" s="6" t="s">
        <v>75</v>
      </c>
      <c r="R37" s="6">
        <v>2023</v>
      </c>
      <c r="S37" s="6">
        <v>2030</v>
      </c>
      <c r="T37" s="6" t="s">
        <v>54</v>
      </c>
      <c r="U37" s="6" t="s">
        <v>851</v>
      </c>
      <c r="V37" s="6" t="s">
        <v>197</v>
      </c>
      <c r="W37" s="7" t="s">
        <v>852</v>
      </c>
      <c r="X37" s="8"/>
      <c r="Y37" s="8"/>
      <c r="Z37" s="8"/>
      <c r="AA37" s="8"/>
      <c r="AB37" s="8"/>
      <c r="AC37" s="8"/>
      <c r="AD37" s="8"/>
      <c r="AE37" s="8"/>
      <c r="AF37" s="8"/>
      <c r="AG37" s="8"/>
      <c r="AH37" s="8"/>
      <c r="AI37" s="8"/>
      <c r="AJ37" s="8"/>
      <c r="AK37" s="8"/>
      <c r="AL37" s="8"/>
      <c r="AM37" s="8"/>
      <c r="AN37" s="8"/>
      <c r="AO37" s="8"/>
      <c r="AP37" s="8"/>
      <c r="AQ37" s="8"/>
      <c r="AR37" s="8"/>
      <c r="AS37" s="8"/>
    </row>
    <row r="38" spans="1:45" ht="84.75" customHeight="1" x14ac:dyDescent="0.45">
      <c r="A38" s="1" t="s">
        <v>853</v>
      </c>
      <c r="B38" s="2" t="s">
        <v>854</v>
      </c>
      <c r="C38" s="2" t="s">
        <v>855</v>
      </c>
      <c r="D38" s="2" t="s">
        <v>856</v>
      </c>
      <c r="E38" s="2" t="s">
        <v>82</v>
      </c>
      <c r="F38" s="2" t="s">
        <v>83</v>
      </c>
      <c r="G38" s="2"/>
      <c r="H38" s="2" t="s">
        <v>844</v>
      </c>
      <c r="I38" s="2" t="s">
        <v>844</v>
      </c>
      <c r="J38" s="2" t="s">
        <v>844</v>
      </c>
      <c r="K38" s="2" t="s">
        <v>844</v>
      </c>
      <c r="L38" s="23">
        <v>56</v>
      </c>
      <c r="M38" s="23">
        <v>11</v>
      </c>
      <c r="N38" s="16">
        <v>10000000</v>
      </c>
      <c r="O38" s="16">
        <v>10000000</v>
      </c>
      <c r="P38" s="2" t="s">
        <v>75</v>
      </c>
      <c r="Q38" s="2" t="s">
        <v>75</v>
      </c>
      <c r="R38" s="2">
        <v>2023</v>
      </c>
      <c r="S38" s="2"/>
      <c r="T38" s="2" t="s">
        <v>54</v>
      </c>
      <c r="U38" s="2" t="s">
        <v>857</v>
      </c>
      <c r="V38" s="2"/>
      <c r="W38" s="2" t="s">
        <v>858</v>
      </c>
      <c r="X38" s="4"/>
      <c r="Y38" s="4"/>
      <c r="Z38" s="4"/>
      <c r="AA38" s="4"/>
      <c r="AB38" s="4"/>
      <c r="AC38" s="4"/>
      <c r="AD38" s="4"/>
      <c r="AE38" s="4"/>
      <c r="AF38" s="4"/>
      <c r="AG38" s="4"/>
      <c r="AH38" s="4"/>
      <c r="AI38" s="4"/>
      <c r="AJ38" s="4"/>
      <c r="AK38" s="4"/>
      <c r="AL38" s="4"/>
      <c r="AM38" s="4"/>
      <c r="AN38" s="4"/>
      <c r="AO38" s="4"/>
      <c r="AP38" s="4"/>
      <c r="AQ38" s="4"/>
      <c r="AR38" s="4"/>
      <c r="AS38" s="4"/>
    </row>
    <row r="39" spans="1:45" ht="74.25" customHeight="1" x14ac:dyDescent="0.45">
      <c r="A39" s="5" t="s">
        <v>859</v>
      </c>
      <c r="B39" s="6" t="s">
        <v>860</v>
      </c>
      <c r="C39" s="6" t="s">
        <v>861</v>
      </c>
      <c r="D39" s="6" t="s">
        <v>862</v>
      </c>
      <c r="E39" s="6" t="s">
        <v>82</v>
      </c>
      <c r="F39" s="6" t="s">
        <v>863</v>
      </c>
      <c r="G39" s="6"/>
      <c r="H39" s="6" t="s">
        <v>844</v>
      </c>
      <c r="I39" s="6" t="s">
        <v>844</v>
      </c>
      <c r="J39" s="6" t="s">
        <v>844</v>
      </c>
      <c r="K39" s="6" t="s">
        <v>844</v>
      </c>
      <c r="L39" s="24">
        <v>56.520810269999998</v>
      </c>
      <c r="M39" s="24">
        <v>9.9980418810000007</v>
      </c>
      <c r="N39" s="16">
        <v>8000000</v>
      </c>
      <c r="O39" s="16">
        <v>8000000</v>
      </c>
      <c r="P39" s="6" t="s">
        <v>75</v>
      </c>
      <c r="Q39" s="6" t="s">
        <v>75</v>
      </c>
      <c r="R39" s="6">
        <v>2024</v>
      </c>
      <c r="S39" s="6">
        <v>2029</v>
      </c>
      <c r="T39" s="6" t="s">
        <v>54</v>
      </c>
      <c r="U39" s="6" t="s">
        <v>864</v>
      </c>
      <c r="V39" s="6"/>
      <c r="W39" s="6" t="s">
        <v>865</v>
      </c>
      <c r="X39" s="8"/>
      <c r="Y39" s="8"/>
      <c r="Z39" s="8"/>
      <c r="AA39" s="8"/>
      <c r="AB39" s="8"/>
      <c r="AC39" s="8"/>
      <c r="AD39" s="8"/>
      <c r="AE39" s="8"/>
      <c r="AF39" s="8"/>
      <c r="AG39" s="8"/>
      <c r="AH39" s="8"/>
      <c r="AI39" s="8"/>
      <c r="AJ39" s="8"/>
      <c r="AK39" s="8"/>
      <c r="AL39" s="8"/>
      <c r="AM39" s="8"/>
      <c r="AN39" s="8"/>
      <c r="AO39" s="8"/>
      <c r="AP39" s="8"/>
      <c r="AQ39" s="8"/>
      <c r="AR39" s="8"/>
      <c r="AS39" s="8"/>
    </row>
    <row r="40" spans="1:45" ht="42.75" customHeight="1" x14ac:dyDescent="0.45">
      <c r="A40" s="1" t="s">
        <v>866</v>
      </c>
      <c r="B40" s="2" t="s">
        <v>867</v>
      </c>
      <c r="C40" s="2" t="s">
        <v>868</v>
      </c>
      <c r="D40" s="2" t="s">
        <v>869</v>
      </c>
      <c r="E40" s="2" t="s">
        <v>82</v>
      </c>
      <c r="F40" s="2" t="s">
        <v>870</v>
      </c>
      <c r="G40" s="2"/>
      <c r="H40" s="2" t="s">
        <v>844</v>
      </c>
      <c r="I40" s="2" t="s">
        <v>844</v>
      </c>
      <c r="J40" s="2" t="s">
        <v>844</v>
      </c>
      <c r="K40" s="2" t="s">
        <v>844</v>
      </c>
      <c r="L40" s="23">
        <v>56</v>
      </c>
      <c r="M40" s="23">
        <v>9.3179960000000008</v>
      </c>
      <c r="N40" s="16">
        <v>8000000</v>
      </c>
      <c r="O40" s="16">
        <v>8000000</v>
      </c>
      <c r="P40" s="2" t="s">
        <v>75</v>
      </c>
      <c r="Q40" s="2" t="s">
        <v>75</v>
      </c>
      <c r="R40" s="2">
        <v>2023</v>
      </c>
      <c r="S40" s="2"/>
      <c r="T40" s="2" t="s">
        <v>54</v>
      </c>
      <c r="U40" s="2" t="s">
        <v>871</v>
      </c>
      <c r="V40" s="2"/>
      <c r="W40" s="2" t="s">
        <v>872</v>
      </c>
      <c r="X40" s="4"/>
      <c r="Y40" s="4"/>
      <c r="Z40" s="4"/>
      <c r="AA40" s="4"/>
      <c r="AB40" s="4"/>
      <c r="AC40" s="4"/>
      <c r="AD40" s="4"/>
      <c r="AE40" s="4"/>
      <c r="AF40" s="4"/>
      <c r="AG40" s="4"/>
      <c r="AH40" s="4"/>
      <c r="AI40" s="4"/>
      <c r="AJ40" s="4"/>
      <c r="AK40" s="4"/>
      <c r="AL40" s="4"/>
      <c r="AM40" s="4"/>
      <c r="AN40" s="4"/>
      <c r="AO40" s="4"/>
      <c r="AP40" s="4"/>
      <c r="AQ40" s="4"/>
      <c r="AR40" s="4"/>
      <c r="AS40" s="4"/>
    </row>
    <row r="41" spans="1:45" ht="32.25" customHeight="1" x14ac:dyDescent="0.45">
      <c r="A41" s="5" t="s">
        <v>873</v>
      </c>
      <c r="B41" s="6" t="s">
        <v>874</v>
      </c>
      <c r="C41" s="6" t="s">
        <v>875</v>
      </c>
      <c r="D41" s="6" t="s">
        <v>382</v>
      </c>
      <c r="E41" s="6" t="s">
        <v>82</v>
      </c>
      <c r="F41" s="6" t="s">
        <v>876</v>
      </c>
      <c r="G41" s="6"/>
      <c r="H41" s="6" t="s">
        <v>844</v>
      </c>
      <c r="I41" s="6" t="s">
        <v>844</v>
      </c>
      <c r="J41" s="6" t="s">
        <v>844</v>
      </c>
      <c r="K41" s="6" t="s">
        <v>844</v>
      </c>
      <c r="L41" s="24">
        <v>56.345238000000002</v>
      </c>
      <c r="M41" s="24">
        <v>4.2720219000000004</v>
      </c>
      <c r="N41" s="16">
        <v>4800000</v>
      </c>
      <c r="O41" s="16">
        <v>4800000</v>
      </c>
      <c r="P41" s="6" t="s">
        <v>65</v>
      </c>
      <c r="Q41" s="6" t="s">
        <v>184</v>
      </c>
      <c r="R41" s="6">
        <v>2021</v>
      </c>
      <c r="S41" s="6">
        <v>2030</v>
      </c>
      <c r="T41" s="6" t="s">
        <v>54</v>
      </c>
      <c r="U41" s="6" t="s">
        <v>877</v>
      </c>
      <c r="V41" s="6"/>
      <c r="W41" s="6" t="s">
        <v>878</v>
      </c>
      <c r="X41" s="8"/>
      <c r="Y41" s="8"/>
      <c r="Z41" s="8"/>
      <c r="AA41" s="8"/>
      <c r="AB41" s="8"/>
      <c r="AC41" s="8"/>
      <c r="AD41" s="8"/>
      <c r="AE41" s="8"/>
      <c r="AF41" s="8"/>
      <c r="AG41" s="8"/>
      <c r="AH41" s="8"/>
      <c r="AI41" s="8"/>
      <c r="AJ41" s="8"/>
      <c r="AK41" s="8"/>
      <c r="AL41" s="8"/>
      <c r="AM41" s="8"/>
      <c r="AN41" s="8"/>
      <c r="AO41" s="8"/>
      <c r="AP41" s="8"/>
      <c r="AQ41" s="8"/>
      <c r="AR41" s="8"/>
      <c r="AS41" s="8"/>
    </row>
    <row r="42" spans="1:45" ht="21.75" customHeight="1" x14ac:dyDescent="0.45">
      <c r="A42" s="1" t="s">
        <v>879</v>
      </c>
      <c r="B42" s="2" t="s">
        <v>880</v>
      </c>
      <c r="C42" s="2" t="s">
        <v>881</v>
      </c>
      <c r="D42" s="2" t="s">
        <v>882</v>
      </c>
      <c r="E42" s="2" t="s">
        <v>82</v>
      </c>
      <c r="F42" s="2" t="s">
        <v>82</v>
      </c>
      <c r="G42" s="2"/>
      <c r="H42" s="2" t="s">
        <v>844</v>
      </c>
      <c r="I42" s="2" t="s">
        <v>844</v>
      </c>
      <c r="J42" s="2" t="s">
        <v>844</v>
      </c>
      <c r="K42" s="2" t="s">
        <v>844</v>
      </c>
      <c r="L42" s="23">
        <v>56.688519999999997</v>
      </c>
      <c r="M42" s="23">
        <v>5.3211240000000002</v>
      </c>
      <c r="N42" s="16">
        <v>8000000</v>
      </c>
      <c r="O42" s="16" t="s">
        <v>462</v>
      </c>
      <c r="P42" s="2" t="s">
        <v>65</v>
      </c>
      <c r="Q42" s="2" t="s">
        <v>66</v>
      </c>
      <c r="R42" s="2">
        <v>2020</v>
      </c>
      <c r="S42" s="2">
        <v>2026</v>
      </c>
      <c r="T42" s="2" t="s">
        <v>86</v>
      </c>
      <c r="U42" s="2" t="s">
        <v>883</v>
      </c>
      <c r="V42" s="2"/>
      <c r="W42" s="3" t="s">
        <v>884</v>
      </c>
      <c r="X42" s="4"/>
      <c r="Y42" s="4"/>
      <c r="Z42" s="4"/>
      <c r="AA42" s="4"/>
      <c r="AB42" s="4"/>
      <c r="AC42" s="4"/>
      <c r="AD42" s="4"/>
      <c r="AE42" s="4"/>
      <c r="AF42" s="4"/>
      <c r="AG42" s="4"/>
      <c r="AH42" s="4"/>
      <c r="AI42" s="4"/>
      <c r="AJ42" s="4"/>
      <c r="AK42" s="4"/>
      <c r="AL42" s="4"/>
      <c r="AM42" s="4"/>
      <c r="AN42" s="4"/>
      <c r="AO42" s="4"/>
      <c r="AP42" s="4"/>
      <c r="AQ42" s="4"/>
      <c r="AR42" s="4"/>
      <c r="AS42" s="4"/>
    </row>
    <row r="43" spans="1:45" ht="32.25" customHeight="1" x14ac:dyDescent="0.45">
      <c r="A43" s="5" t="s">
        <v>1052</v>
      </c>
      <c r="B43" s="6" t="s">
        <v>1053</v>
      </c>
      <c r="C43" s="6" t="s">
        <v>1054</v>
      </c>
      <c r="D43" s="6" t="s">
        <v>1055</v>
      </c>
      <c r="E43" s="6" t="s">
        <v>82</v>
      </c>
      <c r="F43" s="6" t="s">
        <v>1056</v>
      </c>
      <c r="G43" s="6"/>
      <c r="H43" s="6" t="s">
        <v>51</v>
      </c>
      <c r="I43" s="6" t="s">
        <v>51</v>
      </c>
      <c r="J43" s="6" t="s">
        <v>1033</v>
      </c>
      <c r="K43" s="6" t="s">
        <v>1057</v>
      </c>
      <c r="L43" s="24">
        <v>57.050548999999997</v>
      </c>
      <c r="M43" s="24">
        <v>10.053131</v>
      </c>
      <c r="N43" s="16">
        <v>15000000</v>
      </c>
      <c r="O43" s="16">
        <v>15000000</v>
      </c>
      <c r="P43" s="6" t="s">
        <v>75</v>
      </c>
      <c r="Q43" s="6" t="s">
        <v>1058</v>
      </c>
      <c r="R43" s="6">
        <v>2023</v>
      </c>
      <c r="S43" s="6">
        <v>2027</v>
      </c>
      <c r="T43" s="6" t="s">
        <v>54</v>
      </c>
      <c r="U43" s="6" t="s">
        <v>1059</v>
      </c>
      <c r="V43" s="6"/>
      <c r="W43" s="7" t="s">
        <v>1060</v>
      </c>
      <c r="X43" s="8"/>
      <c r="Y43" s="8"/>
      <c r="Z43" s="8"/>
      <c r="AA43" s="8"/>
      <c r="AB43" s="8"/>
      <c r="AC43" s="8"/>
      <c r="AD43" s="8"/>
      <c r="AE43" s="8"/>
      <c r="AF43" s="8"/>
      <c r="AG43" s="8"/>
      <c r="AH43" s="8"/>
      <c r="AI43" s="8"/>
      <c r="AJ43" s="8"/>
      <c r="AK43" s="8"/>
      <c r="AL43" s="8"/>
      <c r="AM43" s="8"/>
      <c r="AN43" s="8"/>
      <c r="AO43" s="8"/>
      <c r="AP43" s="8"/>
      <c r="AQ43" s="8"/>
      <c r="AR43" s="8"/>
      <c r="AS43" s="8"/>
    </row>
    <row r="44" spans="1:45" ht="21.75" customHeight="1" x14ac:dyDescent="0.45">
      <c r="A44" s="1" t="s">
        <v>1061</v>
      </c>
      <c r="B44" s="2" t="s">
        <v>1062</v>
      </c>
      <c r="C44" s="2" t="s">
        <v>1063</v>
      </c>
      <c r="D44" s="2" t="s">
        <v>1064</v>
      </c>
      <c r="E44" s="2" t="s">
        <v>82</v>
      </c>
      <c r="F44" s="2" t="s">
        <v>1065</v>
      </c>
      <c r="G44" s="2"/>
      <c r="H44" s="2" t="s">
        <v>51</v>
      </c>
      <c r="I44" s="2" t="s">
        <v>51</v>
      </c>
      <c r="J44" s="2" t="s">
        <v>1033</v>
      </c>
      <c r="K44" s="2" t="s">
        <v>1034</v>
      </c>
      <c r="L44" s="23">
        <v>55.457250999999999</v>
      </c>
      <c r="M44" s="23">
        <v>8.4568169999999991</v>
      </c>
      <c r="N44" s="16">
        <v>0</v>
      </c>
      <c r="O44" s="16" t="s">
        <v>176</v>
      </c>
      <c r="P44" s="2" t="s">
        <v>65</v>
      </c>
      <c r="Q44" s="2" t="s">
        <v>184</v>
      </c>
      <c r="R44" s="2"/>
      <c r="S44" s="2"/>
      <c r="T44" s="2" t="s">
        <v>86</v>
      </c>
      <c r="U44" s="2" t="s">
        <v>1066</v>
      </c>
      <c r="V44" s="2"/>
      <c r="W44" s="3" t="s">
        <v>1067</v>
      </c>
      <c r="X44" s="4"/>
      <c r="Y44" s="4"/>
      <c r="Z44" s="4"/>
      <c r="AA44" s="4"/>
      <c r="AB44" s="4"/>
      <c r="AC44" s="4"/>
      <c r="AD44" s="4"/>
      <c r="AE44" s="4"/>
      <c r="AF44" s="4"/>
      <c r="AG44" s="4"/>
      <c r="AH44" s="4"/>
      <c r="AI44" s="4"/>
      <c r="AJ44" s="4"/>
      <c r="AK44" s="4"/>
      <c r="AL44" s="4"/>
      <c r="AM44" s="4"/>
      <c r="AN44" s="4"/>
      <c r="AO44" s="4"/>
      <c r="AP44" s="4"/>
      <c r="AQ44" s="4"/>
      <c r="AR44" s="4"/>
      <c r="AS44" s="4"/>
    </row>
    <row r="45" spans="1:45" ht="21.75" customHeight="1" x14ac:dyDescent="0.45">
      <c r="A45" s="5" t="s">
        <v>1068</v>
      </c>
      <c r="B45" s="6" t="s">
        <v>1069</v>
      </c>
      <c r="C45" s="6" t="s">
        <v>1070</v>
      </c>
      <c r="D45" s="6" t="s">
        <v>1064</v>
      </c>
      <c r="E45" s="6" t="s">
        <v>82</v>
      </c>
      <c r="F45" s="6" t="s">
        <v>1071</v>
      </c>
      <c r="G45" s="6"/>
      <c r="H45" s="6" t="s">
        <v>51</v>
      </c>
      <c r="I45" s="6" t="s">
        <v>51</v>
      </c>
      <c r="J45" s="6" t="s">
        <v>1033</v>
      </c>
      <c r="K45" s="6" t="s">
        <v>1034</v>
      </c>
      <c r="L45" s="24">
        <v>57.593988000000003</v>
      </c>
      <c r="M45" s="24">
        <v>9.9636980000000008</v>
      </c>
      <c r="N45" s="16">
        <v>0</v>
      </c>
      <c r="O45" s="16" t="s">
        <v>176</v>
      </c>
      <c r="P45" s="6" t="s">
        <v>53</v>
      </c>
      <c r="Q45" s="6" t="s">
        <v>53</v>
      </c>
      <c r="R45" s="6"/>
      <c r="S45" s="6">
        <v>2031</v>
      </c>
      <c r="T45" s="6" t="s">
        <v>54</v>
      </c>
      <c r="U45" s="6" t="s">
        <v>1072</v>
      </c>
      <c r="V45" s="6"/>
      <c r="W45" s="7" t="s">
        <v>1073</v>
      </c>
      <c r="X45" s="8"/>
      <c r="Y45" s="8"/>
      <c r="Z45" s="8"/>
      <c r="AA45" s="8"/>
      <c r="AB45" s="8"/>
      <c r="AC45" s="8"/>
      <c r="AD45" s="8"/>
      <c r="AE45" s="8"/>
      <c r="AF45" s="8"/>
      <c r="AG45" s="8"/>
      <c r="AH45" s="8"/>
      <c r="AI45" s="8"/>
      <c r="AJ45" s="8"/>
      <c r="AK45" s="8"/>
      <c r="AL45" s="8"/>
      <c r="AM45" s="8"/>
      <c r="AN45" s="8"/>
      <c r="AO45" s="8"/>
      <c r="AP45" s="8"/>
      <c r="AQ45" s="8"/>
      <c r="AR45" s="8"/>
      <c r="AS45" s="8"/>
    </row>
    <row r="46" spans="1:45" ht="42.75" customHeight="1" x14ac:dyDescent="0.45">
      <c r="A46" s="1" t="s">
        <v>1074</v>
      </c>
      <c r="B46" s="2" t="s">
        <v>1075</v>
      </c>
      <c r="C46" s="2" t="s">
        <v>1076</v>
      </c>
      <c r="D46" s="2" t="s">
        <v>1077</v>
      </c>
      <c r="E46" s="2" t="s">
        <v>82</v>
      </c>
      <c r="F46" s="2" t="s">
        <v>83</v>
      </c>
      <c r="G46" s="2"/>
      <c r="H46" s="2" t="s">
        <v>51</v>
      </c>
      <c r="I46" s="2" t="s">
        <v>51</v>
      </c>
      <c r="J46" s="2" t="s">
        <v>1033</v>
      </c>
      <c r="K46" s="2" t="s">
        <v>1078</v>
      </c>
      <c r="L46" s="23">
        <v>55.673175999999998</v>
      </c>
      <c r="M46" s="23">
        <v>11.100847</v>
      </c>
      <c r="N46" s="16">
        <v>0</v>
      </c>
      <c r="O46" s="16" t="s">
        <v>176</v>
      </c>
      <c r="P46" s="2" t="s">
        <v>75</v>
      </c>
      <c r="Q46" s="2" t="s">
        <v>75</v>
      </c>
      <c r="R46" s="2">
        <v>2022</v>
      </c>
      <c r="S46" s="2">
        <v>2026</v>
      </c>
      <c r="T46" s="2" t="s">
        <v>54</v>
      </c>
      <c r="U46" s="2" t="s">
        <v>1079</v>
      </c>
      <c r="V46" s="2"/>
      <c r="W46" s="2" t="s">
        <v>1080</v>
      </c>
      <c r="X46" s="4"/>
      <c r="Y46" s="4"/>
      <c r="Z46" s="4"/>
      <c r="AA46" s="4"/>
      <c r="AB46" s="4"/>
      <c r="AC46" s="4"/>
      <c r="AD46" s="4"/>
      <c r="AE46" s="4"/>
      <c r="AF46" s="4"/>
      <c r="AG46" s="4"/>
      <c r="AH46" s="4"/>
      <c r="AI46" s="4"/>
      <c r="AJ46" s="4"/>
      <c r="AK46" s="4"/>
      <c r="AL46" s="4"/>
      <c r="AM46" s="4"/>
      <c r="AN46" s="4"/>
      <c r="AO46" s="4"/>
      <c r="AP46" s="4"/>
      <c r="AQ46" s="4"/>
      <c r="AR46" s="4"/>
      <c r="AS46" s="4"/>
    </row>
    <row r="47" spans="1:45" ht="32.25" customHeight="1" x14ac:dyDescent="0.45">
      <c r="A47" s="1" t="s">
        <v>1238</v>
      </c>
      <c r="B47" s="2" t="s">
        <v>1239</v>
      </c>
      <c r="C47" s="2" t="s">
        <v>1240</v>
      </c>
      <c r="D47" s="2" t="s">
        <v>1241</v>
      </c>
      <c r="E47" s="2" t="s">
        <v>82</v>
      </c>
      <c r="F47" s="2" t="s">
        <v>1242</v>
      </c>
      <c r="G47" s="2"/>
      <c r="H47" s="2" t="s">
        <v>1243</v>
      </c>
      <c r="I47" s="2" t="s">
        <v>1243</v>
      </c>
      <c r="J47" s="2" t="s">
        <v>1243</v>
      </c>
      <c r="K47" s="2" t="s">
        <v>1243</v>
      </c>
      <c r="L47" s="23">
        <v>56.204999999999998</v>
      </c>
      <c r="M47" s="23">
        <v>10.173999999999999</v>
      </c>
      <c r="N47" s="16">
        <v>450000</v>
      </c>
      <c r="O47" s="16">
        <v>450000</v>
      </c>
      <c r="P47" s="2" t="s">
        <v>75</v>
      </c>
      <c r="Q47" s="2" t="s">
        <v>75</v>
      </c>
      <c r="R47" s="2">
        <v>2024</v>
      </c>
      <c r="S47" s="2">
        <v>2030</v>
      </c>
      <c r="T47" s="2" t="s">
        <v>98</v>
      </c>
      <c r="U47" s="2" t="s">
        <v>1244</v>
      </c>
      <c r="V47" s="2"/>
      <c r="W47" s="3" t="s">
        <v>1245</v>
      </c>
      <c r="X47" s="4"/>
      <c r="Y47" s="4"/>
      <c r="Z47" s="4"/>
      <c r="AA47" s="4"/>
      <c r="AB47" s="4"/>
      <c r="AC47" s="4"/>
      <c r="AD47" s="4"/>
      <c r="AE47" s="4"/>
      <c r="AF47" s="4"/>
      <c r="AG47" s="4"/>
      <c r="AH47" s="4"/>
      <c r="AI47" s="4"/>
      <c r="AJ47" s="4"/>
      <c r="AK47" s="4"/>
      <c r="AL47" s="4"/>
      <c r="AM47" s="4"/>
      <c r="AN47" s="4"/>
      <c r="AO47" s="4"/>
      <c r="AP47" s="4"/>
      <c r="AQ47" s="4"/>
      <c r="AR47" s="4"/>
      <c r="AS47" s="4"/>
    </row>
    <row r="48" spans="1:45" ht="42.75" customHeight="1" x14ac:dyDescent="0.45">
      <c r="A48" s="5" t="s">
        <v>1246</v>
      </c>
      <c r="B48" s="6" t="s">
        <v>1247</v>
      </c>
      <c r="C48" s="6" t="s">
        <v>1248</v>
      </c>
      <c r="D48" s="6" t="s">
        <v>1249</v>
      </c>
      <c r="E48" s="6" t="s">
        <v>82</v>
      </c>
      <c r="F48" s="6" t="s">
        <v>1250</v>
      </c>
      <c r="G48" s="6"/>
      <c r="H48" s="6" t="s">
        <v>1243</v>
      </c>
      <c r="I48" s="6" t="s">
        <v>1243</v>
      </c>
      <c r="J48" s="6" t="s">
        <v>1243</v>
      </c>
      <c r="K48" s="6" t="s">
        <v>1243</v>
      </c>
      <c r="L48" s="24">
        <v>55.311999999999998</v>
      </c>
      <c r="M48" s="24">
        <v>10.789</v>
      </c>
      <c r="N48" s="16">
        <v>280000</v>
      </c>
      <c r="O48" s="16">
        <v>280000</v>
      </c>
      <c r="P48" s="6" t="s">
        <v>75</v>
      </c>
      <c r="Q48" s="6" t="s">
        <v>75</v>
      </c>
      <c r="R48" s="6">
        <v>2023</v>
      </c>
      <c r="S48" s="6"/>
      <c r="T48" s="6" t="s">
        <v>98</v>
      </c>
      <c r="U48" s="6"/>
      <c r="V48" s="6"/>
      <c r="W48" s="6" t="s">
        <v>1251</v>
      </c>
      <c r="X48" s="8"/>
      <c r="Y48" s="8"/>
      <c r="Z48" s="8"/>
      <c r="AA48" s="8"/>
      <c r="AB48" s="8"/>
      <c r="AC48" s="8"/>
      <c r="AD48" s="8"/>
      <c r="AE48" s="8"/>
      <c r="AF48" s="8"/>
      <c r="AG48" s="8"/>
      <c r="AH48" s="8"/>
      <c r="AI48" s="8"/>
      <c r="AJ48" s="8"/>
      <c r="AK48" s="8"/>
      <c r="AL48" s="8"/>
      <c r="AM48" s="8"/>
      <c r="AN48" s="8"/>
      <c r="AO48" s="8"/>
      <c r="AP48" s="8"/>
      <c r="AQ48" s="8"/>
      <c r="AR48" s="8"/>
      <c r="AS48" s="8"/>
    </row>
    <row r="49" spans="1:45" ht="53.25" customHeight="1" x14ac:dyDescent="0.45">
      <c r="A49" s="1" t="s">
        <v>1252</v>
      </c>
      <c r="B49" s="2" t="s">
        <v>1253</v>
      </c>
      <c r="C49" s="2" t="s">
        <v>1254</v>
      </c>
      <c r="D49" s="2" t="s">
        <v>1255</v>
      </c>
      <c r="E49" s="2" t="s">
        <v>82</v>
      </c>
      <c r="F49" s="2" t="s">
        <v>1256</v>
      </c>
      <c r="G49" s="2"/>
      <c r="H49" s="2" t="s">
        <v>1243</v>
      </c>
      <c r="I49" s="2" t="s">
        <v>1243</v>
      </c>
      <c r="J49" s="2" t="s">
        <v>1243</v>
      </c>
      <c r="K49" s="2" t="s">
        <v>1243</v>
      </c>
      <c r="L49" s="23">
        <v>55.461601000000002</v>
      </c>
      <c r="M49" s="23">
        <v>8.5084</v>
      </c>
      <c r="N49" s="16">
        <v>200000</v>
      </c>
      <c r="O49" s="16">
        <v>200000</v>
      </c>
      <c r="P49" s="2" t="s">
        <v>75</v>
      </c>
      <c r="Q49" s="2" t="s">
        <v>75</v>
      </c>
      <c r="R49" s="2">
        <v>2023</v>
      </c>
      <c r="S49" s="2"/>
      <c r="T49" s="2" t="s">
        <v>98</v>
      </c>
      <c r="U49" s="2" t="s">
        <v>1257</v>
      </c>
      <c r="V49" s="2"/>
      <c r="W49" s="2" t="s">
        <v>1258</v>
      </c>
      <c r="X49" s="4"/>
      <c r="Y49" s="4"/>
      <c r="Z49" s="4"/>
      <c r="AA49" s="4"/>
      <c r="AB49" s="4"/>
      <c r="AC49" s="4"/>
      <c r="AD49" s="4"/>
      <c r="AE49" s="4"/>
      <c r="AF49" s="4"/>
      <c r="AG49" s="4"/>
      <c r="AH49" s="4"/>
      <c r="AI49" s="4"/>
      <c r="AJ49" s="4"/>
      <c r="AK49" s="4"/>
      <c r="AL49" s="4"/>
      <c r="AM49" s="4"/>
      <c r="AN49" s="4"/>
      <c r="AO49" s="4"/>
      <c r="AP49" s="4"/>
      <c r="AQ49" s="4"/>
      <c r="AR49" s="4"/>
      <c r="AS49" s="4"/>
    </row>
    <row r="50" spans="1:45" ht="21.75" customHeight="1" x14ac:dyDescent="0.45">
      <c r="A50" s="5" t="s">
        <v>1259</v>
      </c>
      <c r="B50" s="6" t="s">
        <v>1260</v>
      </c>
      <c r="C50" s="6" t="s">
        <v>1261</v>
      </c>
      <c r="D50" s="6" t="s">
        <v>1262</v>
      </c>
      <c r="E50" s="6" t="s">
        <v>82</v>
      </c>
      <c r="F50" s="6" t="s">
        <v>1263</v>
      </c>
      <c r="G50" s="6"/>
      <c r="H50" s="6" t="s">
        <v>1243</v>
      </c>
      <c r="I50" s="6" t="s">
        <v>1243</v>
      </c>
      <c r="J50" s="6" t="s">
        <v>1243</v>
      </c>
      <c r="K50" s="6" t="s">
        <v>1243</v>
      </c>
      <c r="L50" s="24">
        <v>55.2089</v>
      </c>
      <c r="M50" s="24">
        <v>11.728999999999999</v>
      </c>
      <c r="N50" s="16">
        <v>150000</v>
      </c>
      <c r="O50" s="16">
        <v>150000</v>
      </c>
      <c r="P50" s="6" t="s">
        <v>75</v>
      </c>
      <c r="Q50" s="6" t="s">
        <v>75</v>
      </c>
      <c r="R50" s="6">
        <v>2025</v>
      </c>
      <c r="S50" s="6"/>
      <c r="T50" s="6" t="s">
        <v>98</v>
      </c>
      <c r="U50" s="6" t="s">
        <v>1264</v>
      </c>
      <c r="V50" s="6"/>
      <c r="W50" s="6" t="s">
        <v>1265</v>
      </c>
      <c r="X50" s="8"/>
      <c r="Y50" s="8"/>
      <c r="Z50" s="8"/>
      <c r="AA50" s="8"/>
      <c r="AB50" s="8"/>
      <c r="AC50" s="8"/>
      <c r="AD50" s="8"/>
      <c r="AE50" s="8"/>
      <c r="AF50" s="8"/>
      <c r="AG50" s="8"/>
      <c r="AH50" s="8"/>
      <c r="AI50" s="8"/>
      <c r="AJ50" s="8"/>
      <c r="AK50" s="8"/>
      <c r="AL50" s="8"/>
      <c r="AM50" s="8"/>
      <c r="AN50" s="8"/>
      <c r="AO50" s="8"/>
      <c r="AP50" s="8"/>
      <c r="AQ50" s="8"/>
      <c r="AR50" s="8"/>
      <c r="AS50" s="8"/>
    </row>
    <row r="51" spans="1:45" ht="21.75" customHeight="1" x14ac:dyDescent="0.45">
      <c r="A51" s="1" t="s">
        <v>1266</v>
      </c>
      <c r="B51" s="2" t="s">
        <v>1267</v>
      </c>
      <c r="C51" s="2" t="s">
        <v>1268</v>
      </c>
      <c r="D51" s="2" t="s">
        <v>1269</v>
      </c>
      <c r="E51" s="2" t="s">
        <v>82</v>
      </c>
      <c r="F51" s="2" t="s">
        <v>91</v>
      </c>
      <c r="G51" s="2"/>
      <c r="H51" s="2" t="s">
        <v>84</v>
      </c>
      <c r="I51" s="2" t="s">
        <v>84</v>
      </c>
      <c r="J51" s="2" t="s">
        <v>1243</v>
      </c>
      <c r="K51" s="2" t="s">
        <v>1243</v>
      </c>
      <c r="L51" s="23">
        <v>55.673000000000002</v>
      </c>
      <c r="M51" s="23">
        <v>12.613</v>
      </c>
      <c r="N51" s="16">
        <v>400000</v>
      </c>
      <c r="O51" s="16">
        <v>400000</v>
      </c>
      <c r="P51" s="2" t="s">
        <v>75</v>
      </c>
      <c r="Q51" s="2" t="s">
        <v>75</v>
      </c>
      <c r="R51" s="2">
        <v>2025</v>
      </c>
      <c r="S51" s="2"/>
      <c r="T51" s="2" t="s">
        <v>98</v>
      </c>
      <c r="U51" s="2" t="s">
        <v>1270</v>
      </c>
      <c r="V51" s="2" t="s">
        <v>1271</v>
      </c>
      <c r="W51" s="2" t="s">
        <v>1272</v>
      </c>
      <c r="X51" s="4"/>
      <c r="Y51" s="4"/>
      <c r="Z51" s="4"/>
      <c r="AA51" s="4"/>
      <c r="AB51" s="4"/>
      <c r="AC51" s="4"/>
      <c r="AD51" s="4"/>
      <c r="AE51" s="4"/>
      <c r="AF51" s="4"/>
      <c r="AG51" s="4"/>
      <c r="AH51" s="4"/>
      <c r="AI51" s="4"/>
      <c r="AJ51" s="4"/>
      <c r="AK51" s="4"/>
      <c r="AL51" s="4"/>
      <c r="AM51" s="4"/>
      <c r="AN51" s="4"/>
      <c r="AO51" s="4"/>
      <c r="AP51" s="4"/>
      <c r="AQ51" s="4"/>
      <c r="AR51" s="4"/>
      <c r="AS51" s="4"/>
    </row>
    <row r="52" spans="1:45" ht="21.75" customHeight="1" x14ac:dyDescent="0.45">
      <c r="A52" s="5" t="s">
        <v>1273</v>
      </c>
      <c r="B52" s="6" t="s">
        <v>1274</v>
      </c>
      <c r="C52" s="6" t="s">
        <v>1275</v>
      </c>
      <c r="D52" s="6" t="s">
        <v>1276</v>
      </c>
      <c r="E52" s="6" t="s">
        <v>82</v>
      </c>
      <c r="F52" s="6" t="s">
        <v>1277</v>
      </c>
      <c r="G52" s="6"/>
      <c r="H52" s="6" t="s">
        <v>1243</v>
      </c>
      <c r="I52" s="6" t="s">
        <v>1243</v>
      </c>
      <c r="J52" s="6" t="s">
        <v>1243</v>
      </c>
      <c r="K52" s="6" t="s">
        <v>1243</v>
      </c>
      <c r="L52" s="24">
        <v>55.698</v>
      </c>
      <c r="M52" s="24">
        <v>12.401</v>
      </c>
      <c r="N52" s="16">
        <v>500000</v>
      </c>
      <c r="O52" s="16">
        <v>500000</v>
      </c>
      <c r="P52" s="6" t="s">
        <v>75</v>
      </c>
      <c r="Q52" s="6" t="s">
        <v>75</v>
      </c>
      <c r="R52" s="6">
        <v>2023</v>
      </c>
      <c r="S52" s="6">
        <v>2026</v>
      </c>
      <c r="T52" s="6" t="s">
        <v>98</v>
      </c>
      <c r="U52" s="6" t="s">
        <v>1278</v>
      </c>
      <c r="V52" s="6" t="s">
        <v>107</v>
      </c>
      <c r="W52" s="6" t="s">
        <v>1279</v>
      </c>
      <c r="X52" s="8"/>
      <c r="Y52" s="8"/>
      <c r="Z52" s="8"/>
      <c r="AA52" s="8"/>
      <c r="AB52" s="8"/>
      <c r="AC52" s="8"/>
      <c r="AD52" s="8"/>
      <c r="AE52" s="8"/>
      <c r="AF52" s="8"/>
      <c r="AG52" s="8"/>
      <c r="AH52" s="8"/>
      <c r="AI52" s="8"/>
      <c r="AJ52" s="8"/>
      <c r="AK52" s="8"/>
      <c r="AL52" s="8"/>
      <c r="AM52" s="8"/>
      <c r="AN52" s="8"/>
      <c r="AO52" s="8"/>
      <c r="AP52" s="8"/>
      <c r="AQ52" s="8"/>
      <c r="AR52" s="8"/>
      <c r="AS52" s="8"/>
    </row>
    <row r="53" spans="1:45" ht="21.75" customHeight="1" x14ac:dyDescent="0.45">
      <c r="A53" s="1" t="s">
        <v>1280</v>
      </c>
      <c r="B53" s="2" t="s">
        <v>1281</v>
      </c>
      <c r="C53" s="2" t="s">
        <v>1282</v>
      </c>
      <c r="D53" s="2" t="s">
        <v>1283</v>
      </c>
      <c r="E53" s="2" t="s">
        <v>82</v>
      </c>
      <c r="F53" s="2" t="s">
        <v>1284</v>
      </c>
      <c r="G53" s="2"/>
      <c r="H53" s="2" t="s">
        <v>1243</v>
      </c>
      <c r="I53" s="2" t="s">
        <v>1243</v>
      </c>
      <c r="J53" s="2" t="s">
        <v>1243</v>
      </c>
      <c r="K53" s="2" t="s">
        <v>1243</v>
      </c>
      <c r="L53" s="23">
        <v>55.640999999999998</v>
      </c>
      <c r="M53" s="23">
        <v>12.083</v>
      </c>
      <c r="N53" s="16">
        <v>350000</v>
      </c>
      <c r="O53" s="16">
        <v>350000</v>
      </c>
      <c r="P53" s="2" t="s">
        <v>75</v>
      </c>
      <c r="Q53" s="2" t="s">
        <v>75</v>
      </c>
      <c r="R53" s="2"/>
      <c r="S53" s="2">
        <v>2026</v>
      </c>
      <c r="T53" s="2" t="s">
        <v>98</v>
      </c>
      <c r="U53" s="2"/>
      <c r="V53" s="2" t="s">
        <v>107</v>
      </c>
      <c r="W53" s="2" t="s">
        <v>1285</v>
      </c>
      <c r="X53" s="4"/>
      <c r="Y53" s="4"/>
      <c r="Z53" s="4"/>
      <c r="AA53" s="4"/>
      <c r="AB53" s="4"/>
      <c r="AC53" s="4"/>
      <c r="AD53" s="4"/>
      <c r="AE53" s="4"/>
      <c r="AF53" s="4"/>
      <c r="AG53" s="4"/>
      <c r="AH53" s="4"/>
      <c r="AI53" s="4"/>
      <c r="AJ53" s="4"/>
      <c r="AK53" s="4"/>
      <c r="AL53" s="4"/>
      <c r="AM53" s="4"/>
      <c r="AN53" s="4"/>
      <c r="AO53" s="4"/>
      <c r="AP53" s="4"/>
      <c r="AQ53" s="4"/>
      <c r="AR53" s="4"/>
      <c r="AS53" s="4"/>
    </row>
    <row r="54" spans="1:45" ht="21.75" customHeight="1" x14ac:dyDescent="0.45">
      <c r="A54" s="5" t="s">
        <v>1286</v>
      </c>
      <c r="B54" s="6" t="s">
        <v>1287</v>
      </c>
      <c r="C54" s="6" t="s">
        <v>1288</v>
      </c>
      <c r="D54" s="6" t="s">
        <v>1289</v>
      </c>
      <c r="E54" s="6" t="s">
        <v>82</v>
      </c>
      <c r="F54" s="6" t="s">
        <v>91</v>
      </c>
      <c r="G54" s="6"/>
      <c r="H54" s="6" t="s">
        <v>1243</v>
      </c>
      <c r="I54" s="6" t="s">
        <v>1243</v>
      </c>
      <c r="J54" s="6" t="s">
        <v>1243</v>
      </c>
      <c r="K54" s="6" t="s">
        <v>1243</v>
      </c>
      <c r="L54" s="24">
        <v>55.7</v>
      </c>
      <c r="M54" s="24">
        <v>12.5</v>
      </c>
      <c r="N54" s="16">
        <v>0</v>
      </c>
      <c r="O54" s="16" t="s">
        <v>176</v>
      </c>
      <c r="P54" s="6" t="s">
        <v>75</v>
      </c>
      <c r="Q54" s="6" t="s">
        <v>75</v>
      </c>
      <c r="R54" s="6"/>
      <c r="S54" s="6">
        <v>2027</v>
      </c>
      <c r="T54" s="6" t="s">
        <v>98</v>
      </c>
      <c r="U54" s="6" t="s">
        <v>1290</v>
      </c>
      <c r="V54" s="6" t="s">
        <v>107</v>
      </c>
      <c r="W54" s="6" t="s">
        <v>1291</v>
      </c>
      <c r="X54" s="8"/>
      <c r="Y54" s="8"/>
      <c r="Z54" s="8"/>
      <c r="AA54" s="8"/>
      <c r="AB54" s="8"/>
      <c r="AC54" s="8"/>
      <c r="AD54" s="8"/>
      <c r="AE54" s="8"/>
      <c r="AF54" s="8"/>
      <c r="AG54" s="8"/>
      <c r="AH54" s="8"/>
      <c r="AI54" s="8"/>
      <c r="AJ54" s="8"/>
      <c r="AK54" s="8"/>
      <c r="AL54" s="8"/>
      <c r="AM54" s="8"/>
      <c r="AN54" s="8"/>
      <c r="AO54" s="8"/>
      <c r="AP54" s="8"/>
      <c r="AQ54" s="8"/>
      <c r="AR54" s="8"/>
      <c r="AS54" s="8"/>
    </row>
    <row r="55" spans="1:45" ht="63.75" customHeight="1" x14ac:dyDescent="0.45">
      <c r="A55" s="1" t="s">
        <v>358</v>
      </c>
      <c r="B55" s="2" t="s">
        <v>359</v>
      </c>
      <c r="C55" s="2" t="s">
        <v>360</v>
      </c>
      <c r="D55" s="2" t="s">
        <v>361</v>
      </c>
      <c r="E55" s="2" t="s">
        <v>362</v>
      </c>
      <c r="F55" s="2" t="s">
        <v>363</v>
      </c>
      <c r="G55" s="2"/>
      <c r="H55" s="2" t="s">
        <v>51</v>
      </c>
      <c r="I55" s="2" t="s">
        <v>51</v>
      </c>
      <c r="J55" s="2" t="s">
        <v>157</v>
      </c>
      <c r="K55" s="2" t="s">
        <v>157</v>
      </c>
      <c r="L55" s="23">
        <v>40.576635000000003</v>
      </c>
      <c r="M55" s="23">
        <v>0.54368899999999998</v>
      </c>
      <c r="N55" s="16">
        <v>1100000</v>
      </c>
      <c r="O55" s="16">
        <v>1100000</v>
      </c>
      <c r="P55" s="2" t="s">
        <v>53</v>
      </c>
      <c r="Q55" s="2" t="s">
        <v>53</v>
      </c>
      <c r="R55" s="2">
        <v>2024</v>
      </c>
      <c r="S55" s="2">
        <v>2030</v>
      </c>
      <c r="T55" s="2" t="s">
        <v>54</v>
      </c>
      <c r="U55" s="2" t="s">
        <v>364</v>
      </c>
      <c r="V55" s="2"/>
      <c r="W55" s="2" t="s">
        <v>365</v>
      </c>
      <c r="X55" s="4"/>
      <c r="Y55" s="4"/>
      <c r="Z55" s="4"/>
      <c r="AA55" s="4"/>
      <c r="AB55" s="4"/>
      <c r="AC55" s="4"/>
      <c r="AD55" s="4"/>
      <c r="AE55" s="4"/>
      <c r="AF55" s="4"/>
      <c r="AG55" s="4"/>
      <c r="AH55" s="4"/>
      <c r="AI55" s="4"/>
      <c r="AJ55" s="4"/>
      <c r="AK55" s="4"/>
      <c r="AL55" s="4"/>
      <c r="AM55" s="4"/>
      <c r="AN55" s="4"/>
      <c r="AO55" s="4"/>
      <c r="AP55" s="4"/>
      <c r="AQ55" s="4"/>
      <c r="AR55" s="4"/>
      <c r="AS55" s="4"/>
    </row>
    <row r="56" spans="1:45" ht="32.25" customHeight="1" x14ac:dyDescent="0.45">
      <c r="A56" s="5" t="s">
        <v>366</v>
      </c>
      <c r="B56" s="6" t="s">
        <v>367</v>
      </c>
      <c r="C56" s="6" t="s">
        <v>368</v>
      </c>
      <c r="D56" s="6" t="s">
        <v>369</v>
      </c>
      <c r="E56" s="6" t="s">
        <v>362</v>
      </c>
      <c r="F56" s="6" t="s">
        <v>370</v>
      </c>
      <c r="G56" s="6"/>
      <c r="H56" s="6" t="s">
        <v>51</v>
      </c>
      <c r="I56" s="6" t="s">
        <v>51</v>
      </c>
      <c r="J56" s="6" t="s">
        <v>157</v>
      </c>
      <c r="K56" s="6" t="s">
        <v>157</v>
      </c>
      <c r="L56" s="24">
        <v>39.663669919999997</v>
      </c>
      <c r="M56" s="24">
        <v>-0.24693241499999999</v>
      </c>
      <c r="N56" s="16">
        <v>560000</v>
      </c>
      <c r="O56" s="16">
        <v>560000</v>
      </c>
      <c r="P56" s="6" t="s">
        <v>53</v>
      </c>
      <c r="Q56" s="6" t="s">
        <v>53</v>
      </c>
      <c r="R56" s="6">
        <v>2025</v>
      </c>
      <c r="S56" s="6"/>
      <c r="T56" s="6" t="s">
        <v>54</v>
      </c>
      <c r="U56" s="6" t="s">
        <v>371</v>
      </c>
      <c r="V56" s="6" t="s">
        <v>160</v>
      </c>
      <c r="W56" s="7" t="s">
        <v>372</v>
      </c>
      <c r="X56" s="8"/>
      <c r="Y56" s="8"/>
      <c r="Z56" s="8"/>
      <c r="AA56" s="8"/>
      <c r="AB56" s="8"/>
      <c r="AC56" s="8"/>
      <c r="AD56" s="8"/>
      <c r="AE56" s="8"/>
      <c r="AF56" s="8"/>
      <c r="AG56" s="8"/>
      <c r="AH56" s="8"/>
      <c r="AI56" s="8"/>
      <c r="AJ56" s="8"/>
      <c r="AK56" s="8"/>
      <c r="AL56" s="8"/>
      <c r="AM56" s="8"/>
      <c r="AN56" s="8"/>
      <c r="AO56" s="8"/>
      <c r="AP56" s="8"/>
      <c r="AQ56" s="8"/>
      <c r="AR56" s="8"/>
      <c r="AS56" s="8"/>
    </row>
    <row r="57" spans="1:45" ht="42.75" customHeight="1" x14ac:dyDescent="0.45">
      <c r="A57" s="1" t="s">
        <v>373</v>
      </c>
      <c r="B57" s="2" t="s">
        <v>374</v>
      </c>
      <c r="C57" s="2" t="s">
        <v>375</v>
      </c>
      <c r="D57" s="2" t="s">
        <v>376</v>
      </c>
      <c r="E57" s="2" t="s">
        <v>362</v>
      </c>
      <c r="F57" s="2" t="s">
        <v>377</v>
      </c>
      <c r="G57" s="2"/>
      <c r="H57" s="2" t="s">
        <v>51</v>
      </c>
      <c r="I57" s="2" t="s">
        <v>51</v>
      </c>
      <c r="J57" s="2" t="s">
        <v>157</v>
      </c>
      <c r="K57" s="2" t="s">
        <v>157</v>
      </c>
      <c r="L57" s="23">
        <v>43.210431</v>
      </c>
      <c r="M57" s="23">
        <v>-2.9094310000000001</v>
      </c>
      <c r="N57" s="16">
        <v>0</v>
      </c>
      <c r="O57" s="16" t="s">
        <v>176</v>
      </c>
      <c r="P57" s="2" t="s">
        <v>53</v>
      </c>
      <c r="Q57" s="2" t="s">
        <v>53</v>
      </c>
      <c r="R57" s="2">
        <v>2024</v>
      </c>
      <c r="S57" s="2">
        <v>2030</v>
      </c>
      <c r="T57" s="2" t="s">
        <v>54</v>
      </c>
      <c r="U57" s="2" t="s">
        <v>371</v>
      </c>
      <c r="V57" s="2" t="s">
        <v>378</v>
      </c>
      <c r="W57" s="3" t="s">
        <v>379</v>
      </c>
      <c r="X57" s="4"/>
      <c r="Y57" s="4"/>
      <c r="Z57" s="4"/>
      <c r="AA57" s="4"/>
      <c r="AB57" s="4"/>
      <c r="AC57" s="4"/>
      <c r="AD57" s="4"/>
      <c r="AE57" s="4"/>
      <c r="AF57" s="4"/>
      <c r="AG57" s="4"/>
      <c r="AH57" s="4"/>
      <c r="AI57" s="4"/>
      <c r="AJ57" s="4"/>
      <c r="AK57" s="4"/>
      <c r="AL57" s="4"/>
      <c r="AM57" s="4"/>
      <c r="AN57" s="4"/>
      <c r="AO57" s="4"/>
      <c r="AP57" s="4"/>
      <c r="AQ57" s="4"/>
      <c r="AR57" s="4"/>
      <c r="AS57" s="4"/>
    </row>
    <row r="58" spans="1:45" ht="32.25" customHeight="1" x14ac:dyDescent="0.45">
      <c r="A58" s="5" t="s">
        <v>985</v>
      </c>
      <c r="B58" s="6" t="s">
        <v>986</v>
      </c>
      <c r="C58" s="6" t="s">
        <v>987</v>
      </c>
      <c r="D58" s="6" t="s">
        <v>988</v>
      </c>
      <c r="E58" s="6" t="s">
        <v>362</v>
      </c>
      <c r="F58" s="6" t="s">
        <v>989</v>
      </c>
      <c r="G58" s="6"/>
      <c r="H58" s="6" t="s">
        <v>844</v>
      </c>
      <c r="I58" s="6" t="s">
        <v>844</v>
      </c>
      <c r="J58" s="6" t="s">
        <v>844</v>
      </c>
      <c r="K58" s="6" t="s">
        <v>844</v>
      </c>
      <c r="L58" s="24">
        <v>41.09</v>
      </c>
      <c r="M58" s="24">
        <v>1.2155339999999999</v>
      </c>
      <c r="N58" s="16">
        <v>2000000</v>
      </c>
      <c r="O58" s="16">
        <v>2000000</v>
      </c>
      <c r="P58" s="6" t="s">
        <v>75</v>
      </c>
      <c r="Q58" s="6" t="s">
        <v>75</v>
      </c>
      <c r="R58" s="6">
        <v>2023</v>
      </c>
      <c r="S58" s="6"/>
      <c r="T58" s="6" t="s">
        <v>54</v>
      </c>
      <c r="U58" s="6" t="s">
        <v>990</v>
      </c>
      <c r="V58" s="6"/>
      <c r="W58" s="7" t="s">
        <v>991</v>
      </c>
      <c r="X58" s="8"/>
      <c r="Y58" s="8"/>
      <c r="Z58" s="8"/>
      <c r="AA58" s="8"/>
      <c r="AB58" s="8"/>
      <c r="AC58" s="8"/>
      <c r="AD58" s="8"/>
      <c r="AE58" s="8"/>
      <c r="AF58" s="8"/>
      <c r="AG58" s="8"/>
      <c r="AH58" s="8"/>
      <c r="AI58" s="8"/>
      <c r="AJ58" s="8"/>
      <c r="AK58" s="8"/>
      <c r="AL58" s="8"/>
      <c r="AM58" s="8"/>
      <c r="AN58" s="8"/>
      <c r="AO58" s="8"/>
      <c r="AP58" s="8"/>
      <c r="AQ58" s="8"/>
      <c r="AR58" s="8"/>
      <c r="AS58" s="8"/>
    </row>
    <row r="59" spans="1:45" ht="21.75" customHeight="1" x14ac:dyDescent="0.45">
      <c r="A59" s="1" t="s">
        <v>477</v>
      </c>
      <c r="B59" s="2" t="s">
        <v>478</v>
      </c>
      <c r="C59" s="2" t="s">
        <v>479</v>
      </c>
      <c r="D59" s="2" t="s">
        <v>480</v>
      </c>
      <c r="E59" s="2" t="s">
        <v>481</v>
      </c>
      <c r="F59" s="2" t="s">
        <v>482</v>
      </c>
      <c r="G59" s="2"/>
      <c r="H59" s="2" t="s">
        <v>51</v>
      </c>
      <c r="I59" s="2" t="s">
        <v>51</v>
      </c>
      <c r="J59" s="2" t="s">
        <v>476</v>
      </c>
      <c r="K59" s="2" t="s">
        <v>476</v>
      </c>
      <c r="L59" s="23">
        <v>60.308210000000003</v>
      </c>
      <c r="M59" s="23">
        <v>25.521463000000001</v>
      </c>
      <c r="N59" s="16">
        <v>360000</v>
      </c>
      <c r="O59" s="16">
        <v>360000</v>
      </c>
      <c r="P59" s="2" t="s">
        <v>53</v>
      </c>
      <c r="Q59" s="2" t="s">
        <v>53</v>
      </c>
      <c r="R59" s="2">
        <v>2021</v>
      </c>
      <c r="S59" s="2"/>
      <c r="T59" s="2" t="s">
        <v>54</v>
      </c>
      <c r="U59" s="2" t="s">
        <v>225</v>
      </c>
      <c r="V59" s="2"/>
      <c r="W59" s="2"/>
      <c r="X59" s="4"/>
      <c r="Y59" s="4"/>
      <c r="Z59" s="4"/>
      <c r="AA59" s="4"/>
      <c r="AB59" s="4"/>
      <c r="AC59" s="4"/>
      <c r="AD59" s="4"/>
      <c r="AE59" s="4"/>
      <c r="AF59" s="4"/>
      <c r="AG59" s="4"/>
      <c r="AH59" s="4"/>
      <c r="AI59" s="4"/>
      <c r="AJ59" s="4"/>
      <c r="AK59" s="4"/>
      <c r="AL59" s="4"/>
      <c r="AM59" s="4"/>
      <c r="AN59" s="4"/>
      <c r="AO59" s="4"/>
      <c r="AP59" s="4"/>
      <c r="AQ59" s="4"/>
      <c r="AR59" s="4"/>
      <c r="AS59" s="4"/>
    </row>
    <row r="60" spans="1:45" ht="21.75" customHeight="1" x14ac:dyDescent="0.45">
      <c r="A60" s="1" t="s">
        <v>45</v>
      </c>
      <c r="B60" s="2" t="s">
        <v>46</v>
      </c>
      <c r="C60" s="2" t="s">
        <v>47</v>
      </c>
      <c r="D60" s="2" t="s">
        <v>48</v>
      </c>
      <c r="E60" s="2" t="s">
        <v>49</v>
      </c>
      <c r="F60" s="2" t="s">
        <v>50</v>
      </c>
      <c r="G60" s="2"/>
      <c r="H60" s="2" t="s">
        <v>51</v>
      </c>
      <c r="I60" s="2" t="s">
        <v>51</v>
      </c>
      <c r="J60" s="2" t="s">
        <v>52</v>
      </c>
      <c r="K60" s="2" t="s">
        <v>52</v>
      </c>
      <c r="L60" s="23">
        <v>51.00132</v>
      </c>
      <c r="M60" s="23">
        <v>2.1694</v>
      </c>
      <c r="N60" s="16">
        <v>0</v>
      </c>
      <c r="O60" s="16" t="s">
        <v>53</v>
      </c>
      <c r="P60" s="2" t="s">
        <v>53</v>
      </c>
      <c r="Q60" s="2" t="s">
        <v>53</v>
      </c>
      <c r="R60" s="2">
        <v>2023</v>
      </c>
      <c r="S60" s="2"/>
      <c r="T60" s="2" t="s">
        <v>54</v>
      </c>
      <c r="U60" s="2" t="s">
        <v>55</v>
      </c>
      <c r="V60" s="2" t="s">
        <v>56</v>
      </c>
      <c r="W60" s="3" t="s">
        <v>57</v>
      </c>
      <c r="X60" s="4"/>
      <c r="Y60" s="4"/>
      <c r="Z60" s="4"/>
      <c r="AA60" s="4"/>
      <c r="AB60" s="4"/>
      <c r="AC60" s="4"/>
      <c r="AD60" s="4"/>
      <c r="AE60" s="4"/>
      <c r="AF60" s="4"/>
      <c r="AG60" s="4"/>
      <c r="AH60" s="4"/>
      <c r="AI60" s="4"/>
      <c r="AJ60" s="4"/>
      <c r="AK60" s="4"/>
      <c r="AL60" s="4"/>
      <c r="AM60" s="4"/>
      <c r="AN60" s="4"/>
      <c r="AO60" s="4"/>
      <c r="AP60" s="4"/>
      <c r="AQ60" s="4"/>
      <c r="AR60" s="4"/>
      <c r="AS60" s="4"/>
    </row>
    <row r="61" spans="1:45" ht="53.25" customHeight="1" x14ac:dyDescent="0.45">
      <c r="A61" s="5" t="s">
        <v>216</v>
      </c>
      <c r="B61" s="6" t="s">
        <v>217</v>
      </c>
      <c r="C61" s="6" t="s">
        <v>218</v>
      </c>
      <c r="D61" s="6" t="s">
        <v>219</v>
      </c>
      <c r="E61" s="6" t="s">
        <v>49</v>
      </c>
      <c r="F61" s="6" t="s">
        <v>49</v>
      </c>
      <c r="G61" s="6"/>
      <c r="H61" s="6" t="s">
        <v>51</v>
      </c>
      <c r="I61" s="6" t="s">
        <v>51</v>
      </c>
      <c r="J61" s="6" t="s">
        <v>157</v>
      </c>
      <c r="K61" s="6" t="s">
        <v>175</v>
      </c>
      <c r="L61" s="24">
        <v>50.813614000000001</v>
      </c>
      <c r="M61" s="24">
        <v>1.78149</v>
      </c>
      <c r="N61" s="16">
        <v>610000</v>
      </c>
      <c r="O61" s="16">
        <v>610000</v>
      </c>
      <c r="P61" s="6" t="s">
        <v>53</v>
      </c>
      <c r="Q61" s="6" t="s">
        <v>53</v>
      </c>
      <c r="R61" s="6">
        <v>2022</v>
      </c>
      <c r="S61" s="6"/>
      <c r="T61" s="6" t="s">
        <v>54</v>
      </c>
      <c r="U61" s="6" t="s">
        <v>126</v>
      </c>
      <c r="V61" s="6"/>
      <c r="W61" s="7" t="s">
        <v>185</v>
      </c>
      <c r="X61" s="8"/>
      <c r="Y61" s="8"/>
      <c r="Z61" s="8"/>
      <c r="AA61" s="8"/>
      <c r="AB61" s="8"/>
      <c r="AC61" s="8"/>
      <c r="AD61" s="8"/>
      <c r="AE61" s="8"/>
      <c r="AF61" s="8"/>
      <c r="AG61" s="8"/>
      <c r="AH61" s="8"/>
      <c r="AI61" s="8"/>
      <c r="AJ61" s="8"/>
      <c r="AK61" s="8"/>
      <c r="AL61" s="8"/>
      <c r="AM61" s="8"/>
      <c r="AN61" s="8"/>
      <c r="AO61" s="8"/>
      <c r="AP61" s="8"/>
      <c r="AQ61" s="8"/>
      <c r="AR61" s="8"/>
      <c r="AS61" s="8"/>
    </row>
    <row r="62" spans="1:45" ht="21.75" customHeight="1" x14ac:dyDescent="0.45">
      <c r="A62" s="1" t="s">
        <v>220</v>
      </c>
      <c r="B62" s="2" t="s">
        <v>221</v>
      </c>
      <c r="C62" s="2" t="s">
        <v>222</v>
      </c>
      <c r="D62" s="2" t="s">
        <v>223</v>
      </c>
      <c r="E62" s="2" t="s">
        <v>49</v>
      </c>
      <c r="F62" s="2" t="s">
        <v>224</v>
      </c>
      <c r="G62" s="2"/>
      <c r="H62" s="2" t="s">
        <v>51</v>
      </c>
      <c r="I62" s="2" t="s">
        <v>51</v>
      </c>
      <c r="J62" s="2" t="s">
        <v>157</v>
      </c>
      <c r="K62" s="2" t="s">
        <v>157</v>
      </c>
      <c r="L62" s="23">
        <v>50.699120000000001</v>
      </c>
      <c r="M62" s="23">
        <v>2.109775</v>
      </c>
      <c r="N62" s="16">
        <v>810000</v>
      </c>
      <c r="O62" s="16">
        <v>810000</v>
      </c>
      <c r="P62" s="2" t="s">
        <v>53</v>
      </c>
      <c r="Q62" s="2" t="s">
        <v>53</v>
      </c>
      <c r="R62" s="2">
        <v>2021</v>
      </c>
      <c r="S62" s="2"/>
      <c r="T62" s="2" t="s">
        <v>54</v>
      </c>
      <c r="U62" s="2" t="s">
        <v>225</v>
      </c>
      <c r="V62" s="2"/>
      <c r="W62" s="2"/>
      <c r="X62" s="4"/>
      <c r="Y62" s="4"/>
      <c r="Z62" s="4"/>
      <c r="AA62" s="4"/>
      <c r="AB62" s="4"/>
      <c r="AC62" s="4"/>
      <c r="AD62" s="4"/>
      <c r="AE62" s="4"/>
      <c r="AF62" s="4"/>
      <c r="AG62" s="4"/>
      <c r="AH62" s="4"/>
      <c r="AI62" s="4"/>
      <c r="AJ62" s="4"/>
      <c r="AK62" s="4"/>
      <c r="AL62" s="4"/>
      <c r="AM62" s="4"/>
      <c r="AN62" s="4"/>
      <c r="AO62" s="4"/>
      <c r="AP62" s="4"/>
      <c r="AQ62" s="4"/>
      <c r="AR62" s="4"/>
      <c r="AS62" s="4"/>
    </row>
    <row r="63" spans="1:45" ht="32.25" customHeight="1" x14ac:dyDescent="0.45">
      <c r="A63" s="5" t="s">
        <v>226</v>
      </c>
      <c r="B63" s="6" t="s">
        <v>227</v>
      </c>
      <c r="C63" s="6" t="s">
        <v>228</v>
      </c>
      <c r="D63" s="6" t="s">
        <v>229</v>
      </c>
      <c r="E63" s="6" t="s">
        <v>49</v>
      </c>
      <c r="F63" s="6" t="s">
        <v>230</v>
      </c>
      <c r="G63" s="6"/>
      <c r="H63" s="6" t="s">
        <v>51</v>
      </c>
      <c r="I63" s="6" t="s">
        <v>51</v>
      </c>
      <c r="J63" s="6" t="s">
        <v>157</v>
      </c>
      <c r="K63" s="6" t="s">
        <v>157</v>
      </c>
      <c r="L63" s="24">
        <v>45.803018860000002</v>
      </c>
      <c r="M63" s="24">
        <v>5.4192289970000003</v>
      </c>
      <c r="N63" s="16">
        <v>1200000</v>
      </c>
      <c r="O63" s="16">
        <v>1200000</v>
      </c>
      <c r="P63" s="6" t="s">
        <v>53</v>
      </c>
      <c r="Q63" s="6" t="s">
        <v>53</v>
      </c>
      <c r="R63" s="6">
        <v>2023</v>
      </c>
      <c r="S63" s="6">
        <v>2030</v>
      </c>
      <c r="T63" s="6" t="s">
        <v>54</v>
      </c>
      <c r="U63" s="6" t="s">
        <v>159</v>
      </c>
      <c r="V63" s="6" t="s">
        <v>231</v>
      </c>
      <c r="W63" s="6" t="s">
        <v>232</v>
      </c>
      <c r="X63" s="8"/>
      <c r="Y63" s="8"/>
      <c r="Z63" s="8"/>
      <c r="AA63" s="8"/>
      <c r="AB63" s="8"/>
      <c r="AC63" s="8"/>
      <c r="AD63" s="8"/>
      <c r="AE63" s="8"/>
      <c r="AF63" s="8"/>
      <c r="AG63" s="8"/>
      <c r="AH63" s="8"/>
      <c r="AI63" s="8"/>
      <c r="AJ63" s="8"/>
      <c r="AK63" s="8"/>
      <c r="AL63" s="8"/>
      <c r="AM63" s="8"/>
      <c r="AN63" s="8"/>
      <c r="AO63" s="8"/>
      <c r="AP63" s="8"/>
      <c r="AQ63" s="8"/>
      <c r="AR63" s="8"/>
      <c r="AS63" s="8"/>
    </row>
    <row r="64" spans="1:45" ht="21.75" customHeight="1" x14ac:dyDescent="0.45">
      <c r="A64" s="1" t="s">
        <v>233</v>
      </c>
      <c r="B64" s="2" t="s">
        <v>234</v>
      </c>
      <c r="C64" s="2" t="s">
        <v>235</v>
      </c>
      <c r="D64" s="2" t="s">
        <v>236</v>
      </c>
      <c r="E64" s="2" t="s">
        <v>49</v>
      </c>
      <c r="F64" s="2" t="s">
        <v>237</v>
      </c>
      <c r="G64" s="2"/>
      <c r="H64" s="2" t="s">
        <v>51</v>
      </c>
      <c r="I64" s="2" t="s">
        <v>51</v>
      </c>
      <c r="J64" s="2" t="s">
        <v>157</v>
      </c>
      <c r="K64" s="2" t="s">
        <v>157</v>
      </c>
      <c r="L64" s="23">
        <v>48.108207803339099</v>
      </c>
      <c r="M64" s="23">
        <v>-1.0309022143367801</v>
      </c>
      <c r="N64" s="16">
        <v>1000000</v>
      </c>
      <c r="O64" s="16">
        <v>1000000</v>
      </c>
      <c r="P64" s="2" t="s">
        <v>53</v>
      </c>
      <c r="Q64" s="2" t="s">
        <v>53</v>
      </c>
      <c r="R64" s="2">
        <v>2023</v>
      </c>
      <c r="S64" s="2">
        <v>2030</v>
      </c>
      <c r="T64" s="2" t="s">
        <v>54</v>
      </c>
      <c r="U64" s="2" t="s">
        <v>238</v>
      </c>
      <c r="V64" s="2"/>
      <c r="W64" s="3" t="s">
        <v>239</v>
      </c>
      <c r="X64" s="4"/>
      <c r="Y64" s="4"/>
      <c r="Z64" s="4"/>
      <c r="AA64" s="4"/>
      <c r="AB64" s="4"/>
      <c r="AC64" s="4"/>
      <c r="AD64" s="4"/>
      <c r="AE64" s="4"/>
      <c r="AF64" s="4"/>
      <c r="AG64" s="4"/>
      <c r="AH64" s="4"/>
      <c r="AI64" s="4"/>
      <c r="AJ64" s="4"/>
      <c r="AK64" s="4"/>
      <c r="AL64" s="4"/>
      <c r="AM64" s="4"/>
      <c r="AN64" s="4"/>
      <c r="AO64" s="4"/>
      <c r="AP64" s="4"/>
      <c r="AQ64" s="4"/>
      <c r="AR64" s="4"/>
      <c r="AS64" s="4"/>
    </row>
    <row r="65" spans="1:45" ht="21.75" customHeight="1" x14ac:dyDescent="0.45">
      <c r="A65" s="5" t="s">
        <v>240</v>
      </c>
      <c r="B65" s="6" t="s">
        <v>241</v>
      </c>
      <c r="C65" s="6" t="s">
        <v>242</v>
      </c>
      <c r="D65" s="6" t="s">
        <v>243</v>
      </c>
      <c r="E65" s="6" t="s">
        <v>49</v>
      </c>
      <c r="F65" s="6" t="s">
        <v>244</v>
      </c>
      <c r="G65" s="6"/>
      <c r="H65" s="6" t="s">
        <v>51</v>
      </c>
      <c r="I65" s="6" t="s">
        <v>51</v>
      </c>
      <c r="J65" s="6" t="s">
        <v>157</v>
      </c>
      <c r="K65" s="6" t="s">
        <v>157</v>
      </c>
      <c r="L65" s="24">
        <v>43.186145420212902</v>
      </c>
      <c r="M65" s="24">
        <v>0.98863174013490596</v>
      </c>
      <c r="N65" s="16">
        <v>700000</v>
      </c>
      <c r="O65" s="16">
        <v>700000</v>
      </c>
      <c r="P65" s="6" t="s">
        <v>53</v>
      </c>
      <c r="Q65" s="6" t="s">
        <v>53</v>
      </c>
      <c r="R65" s="6">
        <v>2023</v>
      </c>
      <c r="S65" s="6"/>
      <c r="T65" s="6" t="s">
        <v>54</v>
      </c>
      <c r="U65" s="6" t="s">
        <v>245</v>
      </c>
      <c r="V65" s="6"/>
      <c r="W65" s="7" t="s">
        <v>246</v>
      </c>
      <c r="X65" s="8"/>
      <c r="Y65" s="8"/>
      <c r="Z65" s="8"/>
      <c r="AA65" s="8"/>
      <c r="AB65" s="8"/>
      <c r="AC65" s="8"/>
      <c r="AD65" s="8"/>
      <c r="AE65" s="8"/>
      <c r="AF65" s="8"/>
      <c r="AG65" s="8"/>
      <c r="AH65" s="8"/>
      <c r="AI65" s="8"/>
      <c r="AJ65" s="8"/>
      <c r="AK65" s="8"/>
      <c r="AL65" s="8"/>
      <c r="AM65" s="8"/>
      <c r="AN65" s="8"/>
      <c r="AO65" s="8"/>
      <c r="AP65" s="8"/>
      <c r="AQ65" s="8"/>
      <c r="AR65" s="8"/>
      <c r="AS65" s="8"/>
    </row>
    <row r="66" spans="1:45" ht="32.25" customHeight="1" x14ac:dyDescent="0.45">
      <c r="A66" s="1" t="s">
        <v>247</v>
      </c>
      <c r="B66" s="2" t="s">
        <v>248</v>
      </c>
      <c r="C66" s="2" t="s">
        <v>249</v>
      </c>
      <c r="D66" s="2" t="s">
        <v>250</v>
      </c>
      <c r="E66" s="2" t="s">
        <v>49</v>
      </c>
      <c r="F66" s="2" t="s">
        <v>251</v>
      </c>
      <c r="G66" s="2"/>
      <c r="H66" s="2" t="s">
        <v>51</v>
      </c>
      <c r="I66" s="2" t="s">
        <v>51</v>
      </c>
      <c r="J66" s="2" t="s">
        <v>157</v>
      </c>
      <c r="K66" s="2" t="s">
        <v>157</v>
      </c>
      <c r="L66" s="23">
        <v>46.811405532785898</v>
      </c>
      <c r="M66" s="23">
        <v>-0.135659656575432</v>
      </c>
      <c r="N66" s="16">
        <v>1000000</v>
      </c>
      <c r="O66" s="16">
        <v>1000000</v>
      </c>
      <c r="P66" s="2" t="s">
        <v>53</v>
      </c>
      <c r="Q66" s="2" t="s">
        <v>53</v>
      </c>
      <c r="R66" s="2">
        <v>2024</v>
      </c>
      <c r="S66" s="2">
        <v>2030</v>
      </c>
      <c r="T66" s="2" t="s">
        <v>54</v>
      </c>
      <c r="U66" s="2" t="s">
        <v>252</v>
      </c>
      <c r="V66" s="2"/>
      <c r="W66" s="3" t="s">
        <v>253</v>
      </c>
      <c r="X66" s="4"/>
      <c r="Y66" s="4"/>
      <c r="Z66" s="4"/>
      <c r="AA66" s="4"/>
      <c r="AB66" s="4"/>
      <c r="AC66" s="4"/>
      <c r="AD66" s="4"/>
      <c r="AE66" s="4"/>
      <c r="AF66" s="4"/>
      <c r="AG66" s="4"/>
      <c r="AH66" s="4"/>
      <c r="AI66" s="4"/>
      <c r="AJ66" s="4"/>
      <c r="AK66" s="4"/>
      <c r="AL66" s="4"/>
      <c r="AM66" s="4"/>
      <c r="AN66" s="4"/>
      <c r="AO66" s="4"/>
      <c r="AP66" s="4"/>
      <c r="AQ66" s="4"/>
      <c r="AR66" s="4"/>
      <c r="AS66" s="4"/>
    </row>
    <row r="67" spans="1:45" ht="32.25" customHeight="1" x14ac:dyDescent="0.45">
      <c r="A67" s="5" t="s">
        <v>254</v>
      </c>
      <c r="B67" s="6" t="s">
        <v>255</v>
      </c>
      <c r="C67" s="6" t="s">
        <v>172</v>
      </c>
      <c r="D67" s="6" t="s">
        <v>256</v>
      </c>
      <c r="E67" s="6" t="s">
        <v>49</v>
      </c>
      <c r="F67" s="6" t="s">
        <v>257</v>
      </c>
      <c r="G67" s="6"/>
      <c r="H67" s="6" t="s">
        <v>51</v>
      </c>
      <c r="I67" s="6" t="s">
        <v>51</v>
      </c>
      <c r="J67" s="6" t="s">
        <v>157</v>
      </c>
      <c r="K67" s="6" t="s">
        <v>175</v>
      </c>
      <c r="L67" s="24">
        <v>48.158987000000003</v>
      </c>
      <c r="M67" s="24">
        <v>-0.469468</v>
      </c>
      <c r="N67" s="16">
        <v>0</v>
      </c>
      <c r="O67" s="16" t="s">
        <v>176</v>
      </c>
      <c r="P67" s="6" t="s">
        <v>53</v>
      </c>
      <c r="Q67" s="6" t="s">
        <v>53</v>
      </c>
      <c r="R67" s="6">
        <v>2023</v>
      </c>
      <c r="S67" s="6"/>
      <c r="T67" s="6" t="s">
        <v>98</v>
      </c>
      <c r="U67" s="6" t="s">
        <v>258</v>
      </c>
      <c r="V67" s="6"/>
      <c r="W67" s="6" t="s">
        <v>259</v>
      </c>
      <c r="X67" s="8"/>
      <c r="Y67" s="8"/>
      <c r="Z67" s="8"/>
      <c r="AA67" s="8"/>
      <c r="AB67" s="8"/>
      <c r="AC67" s="8"/>
      <c r="AD67" s="8"/>
      <c r="AE67" s="8"/>
      <c r="AF67" s="8"/>
      <c r="AG67" s="8"/>
      <c r="AH67" s="8"/>
      <c r="AI67" s="8"/>
      <c r="AJ67" s="8"/>
      <c r="AK67" s="8"/>
      <c r="AL67" s="8"/>
      <c r="AM67" s="8"/>
      <c r="AN67" s="8"/>
      <c r="AO67" s="8"/>
      <c r="AP67" s="8"/>
      <c r="AQ67" s="8"/>
      <c r="AR67" s="8"/>
      <c r="AS67" s="8"/>
    </row>
    <row r="68" spans="1:45" ht="63.75" customHeight="1" x14ac:dyDescent="0.45">
      <c r="A68" s="1" t="s">
        <v>260</v>
      </c>
      <c r="B68" s="2" t="s">
        <v>261</v>
      </c>
      <c r="C68" s="2" t="s">
        <v>262</v>
      </c>
      <c r="D68" s="2" t="s">
        <v>263</v>
      </c>
      <c r="E68" s="2" t="s">
        <v>49</v>
      </c>
      <c r="F68" s="2" t="s">
        <v>50</v>
      </c>
      <c r="G68" s="2"/>
      <c r="H68" s="2" t="s">
        <v>51</v>
      </c>
      <c r="I68" s="2" t="s">
        <v>51</v>
      </c>
      <c r="J68" s="2" t="s">
        <v>157</v>
      </c>
      <c r="K68" s="2" t="s">
        <v>157</v>
      </c>
      <c r="L68" s="23">
        <v>51.011345718346099</v>
      </c>
      <c r="M68" s="23">
        <v>2.1587496145836602</v>
      </c>
      <c r="N68" s="16">
        <v>900000</v>
      </c>
      <c r="O68" s="16">
        <v>900000</v>
      </c>
      <c r="P68" s="2" t="s">
        <v>53</v>
      </c>
      <c r="Q68" s="2" t="s">
        <v>53</v>
      </c>
      <c r="R68" s="2">
        <v>2022</v>
      </c>
      <c r="S68" s="2"/>
      <c r="T68" s="2" t="s">
        <v>54</v>
      </c>
      <c r="U68" s="2"/>
      <c r="V68" s="2"/>
      <c r="W68" s="3" t="s">
        <v>264</v>
      </c>
      <c r="X68" s="4"/>
      <c r="Y68" s="4"/>
      <c r="Z68" s="4"/>
      <c r="AA68" s="4"/>
      <c r="AB68" s="4"/>
      <c r="AC68" s="4"/>
      <c r="AD68" s="4"/>
      <c r="AE68" s="4"/>
      <c r="AF68" s="4"/>
      <c r="AG68" s="4"/>
      <c r="AH68" s="4"/>
      <c r="AI68" s="4"/>
      <c r="AJ68" s="4"/>
      <c r="AK68" s="4"/>
      <c r="AL68" s="4"/>
      <c r="AM68" s="4"/>
      <c r="AN68" s="4"/>
      <c r="AO68" s="4"/>
      <c r="AP68" s="4"/>
      <c r="AQ68" s="4"/>
      <c r="AR68" s="4"/>
      <c r="AS68" s="4"/>
    </row>
    <row r="69" spans="1:45" ht="32.25" customHeight="1" x14ac:dyDescent="0.45">
      <c r="A69" s="5" t="s">
        <v>415</v>
      </c>
      <c r="B69" s="6" t="s">
        <v>416</v>
      </c>
      <c r="C69" s="6" t="s">
        <v>417</v>
      </c>
      <c r="D69" s="6" t="s">
        <v>418</v>
      </c>
      <c r="E69" s="6" t="s">
        <v>49</v>
      </c>
      <c r="F69" s="6" t="s">
        <v>419</v>
      </c>
      <c r="G69" s="6"/>
      <c r="H69" s="6" t="s">
        <v>420</v>
      </c>
      <c r="I69" s="6" t="s">
        <v>420</v>
      </c>
      <c r="J69" s="6" t="s">
        <v>420</v>
      </c>
      <c r="K69" s="6" t="s">
        <v>420</v>
      </c>
      <c r="L69" s="24">
        <v>48.5949507736199</v>
      </c>
      <c r="M69" s="24">
        <v>2.9594996698568501</v>
      </c>
      <c r="N69" s="16">
        <v>100000</v>
      </c>
      <c r="O69" s="16">
        <v>100000</v>
      </c>
      <c r="P69" s="6" t="s">
        <v>75</v>
      </c>
      <c r="Q69" s="6" t="s">
        <v>75</v>
      </c>
      <c r="R69" s="6">
        <v>2024</v>
      </c>
      <c r="S69" s="6"/>
      <c r="T69" s="6" t="s">
        <v>54</v>
      </c>
      <c r="U69" s="6"/>
      <c r="V69" s="6"/>
      <c r="W69" s="7" t="s">
        <v>421</v>
      </c>
      <c r="X69" s="8"/>
      <c r="Y69" s="8"/>
      <c r="Z69" s="8"/>
      <c r="AA69" s="8"/>
      <c r="AB69" s="8"/>
      <c r="AC69" s="8"/>
      <c r="AD69" s="8"/>
      <c r="AE69" s="8"/>
      <c r="AF69" s="8"/>
      <c r="AG69" s="8"/>
      <c r="AH69" s="8"/>
      <c r="AI69" s="8"/>
      <c r="AJ69" s="8"/>
      <c r="AK69" s="8"/>
      <c r="AL69" s="8"/>
      <c r="AM69" s="8"/>
      <c r="AN69" s="8"/>
      <c r="AO69" s="8"/>
      <c r="AP69" s="8"/>
      <c r="AQ69" s="8"/>
      <c r="AR69" s="8"/>
      <c r="AS69" s="8"/>
    </row>
    <row r="70" spans="1:45" ht="53.25" customHeight="1" x14ac:dyDescent="0.45">
      <c r="A70" s="1" t="s">
        <v>709</v>
      </c>
      <c r="B70" s="2" t="s">
        <v>710</v>
      </c>
      <c r="C70" s="2" t="s">
        <v>711</v>
      </c>
      <c r="D70" s="2" t="s">
        <v>712</v>
      </c>
      <c r="E70" s="2" t="s">
        <v>49</v>
      </c>
      <c r="F70" s="2" t="s">
        <v>713</v>
      </c>
      <c r="G70" s="2"/>
      <c r="H70" s="2" t="s">
        <v>51</v>
      </c>
      <c r="I70" s="2" t="s">
        <v>51</v>
      </c>
      <c r="J70" s="2" t="s">
        <v>688</v>
      </c>
      <c r="K70" s="2" t="s">
        <v>714</v>
      </c>
      <c r="L70" s="23">
        <v>49.49</v>
      </c>
      <c r="M70" s="23">
        <v>0.11</v>
      </c>
      <c r="N70" s="16">
        <v>0</v>
      </c>
      <c r="O70" s="16" t="s">
        <v>176</v>
      </c>
      <c r="P70" s="2" t="s">
        <v>53</v>
      </c>
      <c r="Q70" s="2" t="s">
        <v>53</v>
      </c>
      <c r="R70" s="2">
        <v>2021</v>
      </c>
      <c r="S70" s="2"/>
      <c r="T70" s="2" t="s">
        <v>54</v>
      </c>
      <c r="U70" s="2" t="s">
        <v>715</v>
      </c>
      <c r="V70" s="2"/>
      <c r="W70" s="2" t="s">
        <v>716</v>
      </c>
      <c r="X70" s="4"/>
      <c r="Y70" s="4"/>
      <c r="Z70" s="4"/>
      <c r="AA70" s="4"/>
      <c r="AB70" s="4"/>
      <c r="AC70" s="4"/>
      <c r="AD70" s="4"/>
      <c r="AE70" s="4"/>
      <c r="AF70" s="4"/>
      <c r="AG70" s="4"/>
      <c r="AH70" s="4"/>
      <c r="AI70" s="4"/>
      <c r="AJ70" s="4"/>
      <c r="AK70" s="4"/>
      <c r="AL70" s="4"/>
      <c r="AM70" s="4"/>
      <c r="AN70" s="4"/>
      <c r="AO70" s="4"/>
      <c r="AP70" s="4"/>
      <c r="AQ70" s="4"/>
      <c r="AR70" s="4"/>
      <c r="AS70" s="4"/>
    </row>
    <row r="71" spans="1:45" ht="32.25" customHeight="1" x14ac:dyDescent="0.45">
      <c r="A71" s="5" t="s">
        <v>717</v>
      </c>
      <c r="B71" s="6" t="s">
        <v>718</v>
      </c>
      <c r="C71" s="6" t="s">
        <v>719</v>
      </c>
      <c r="D71" s="6" t="s">
        <v>720</v>
      </c>
      <c r="E71" s="6" t="s">
        <v>49</v>
      </c>
      <c r="F71" s="6" t="s">
        <v>721</v>
      </c>
      <c r="G71" s="6"/>
      <c r="H71" s="6" t="s">
        <v>51</v>
      </c>
      <c r="I71" s="6" t="s">
        <v>51</v>
      </c>
      <c r="J71" s="6" t="s">
        <v>688</v>
      </c>
      <c r="K71" s="6" t="s">
        <v>722</v>
      </c>
      <c r="L71" s="24">
        <v>49.41</v>
      </c>
      <c r="M71" s="24">
        <v>1.04</v>
      </c>
      <c r="N71" s="16">
        <v>0</v>
      </c>
      <c r="O71" s="16" t="s">
        <v>176</v>
      </c>
      <c r="P71" s="6" t="s">
        <v>53</v>
      </c>
      <c r="Q71" s="6" t="s">
        <v>53</v>
      </c>
      <c r="R71" s="6">
        <v>2021</v>
      </c>
      <c r="S71" s="6"/>
      <c r="T71" s="6" t="s">
        <v>54</v>
      </c>
      <c r="U71" s="6" t="s">
        <v>715</v>
      </c>
      <c r="V71" s="6"/>
      <c r="W71" s="6" t="s">
        <v>716</v>
      </c>
      <c r="X71" s="8"/>
      <c r="Y71" s="8"/>
      <c r="Z71" s="8"/>
      <c r="AA71" s="8"/>
      <c r="AB71" s="8"/>
      <c r="AC71" s="8"/>
      <c r="AD71" s="8"/>
      <c r="AE71" s="8"/>
      <c r="AF71" s="8"/>
      <c r="AG71" s="8"/>
      <c r="AH71" s="8"/>
      <c r="AI71" s="8"/>
      <c r="AJ71" s="8"/>
      <c r="AK71" s="8"/>
      <c r="AL71" s="8"/>
      <c r="AM71" s="8"/>
      <c r="AN71" s="8"/>
      <c r="AO71" s="8"/>
      <c r="AP71" s="8"/>
      <c r="AQ71" s="8"/>
      <c r="AR71" s="8"/>
      <c r="AS71" s="8"/>
    </row>
    <row r="72" spans="1:45" ht="42.75" customHeight="1" x14ac:dyDescent="0.45">
      <c r="A72" s="1" t="s">
        <v>723</v>
      </c>
      <c r="B72" s="2" t="s">
        <v>724</v>
      </c>
      <c r="C72" s="2" t="s">
        <v>725</v>
      </c>
      <c r="D72" s="2" t="s">
        <v>726</v>
      </c>
      <c r="E72" s="2" t="s">
        <v>49</v>
      </c>
      <c r="F72" s="2" t="s">
        <v>727</v>
      </c>
      <c r="G72" s="2"/>
      <c r="H72" s="2" t="s">
        <v>51</v>
      </c>
      <c r="I72" s="2" t="s">
        <v>51</v>
      </c>
      <c r="J72" s="2" t="s">
        <v>688</v>
      </c>
      <c r="K72" s="2" t="s">
        <v>728</v>
      </c>
      <c r="L72" s="23">
        <v>49.49</v>
      </c>
      <c r="M72" s="23">
        <v>0.23</v>
      </c>
      <c r="N72" s="16">
        <v>0</v>
      </c>
      <c r="O72" s="16" t="s">
        <v>176</v>
      </c>
      <c r="P72" s="2" t="s">
        <v>53</v>
      </c>
      <c r="Q72" s="2" t="s">
        <v>53</v>
      </c>
      <c r="R72" s="2">
        <v>2021</v>
      </c>
      <c r="S72" s="2"/>
      <c r="T72" s="2" t="s">
        <v>54</v>
      </c>
      <c r="U72" s="2" t="s">
        <v>715</v>
      </c>
      <c r="V72" s="2"/>
      <c r="W72" s="2" t="s">
        <v>729</v>
      </c>
      <c r="X72" s="4"/>
      <c r="Y72" s="4"/>
      <c r="Z72" s="4"/>
      <c r="AA72" s="4"/>
      <c r="AB72" s="4"/>
      <c r="AC72" s="4"/>
      <c r="AD72" s="4"/>
      <c r="AE72" s="4"/>
      <c r="AF72" s="4"/>
      <c r="AG72" s="4"/>
      <c r="AH72" s="4"/>
      <c r="AI72" s="4"/>
      <c r="AJ72" s="4"/>
      <c r="AK72" s="4"/>
      <c r="AL72" s="4"/>
      <c r="AM72" s="4"/>
      <c r="AN72" s="4"/>
      <c r="AO72" s="4"/>
      <c r="AP72" s="4"/>
      <c r="AQ72" s="4"/>
      <c r="AR72" s="4"/>
      <c r="AS72" s="4"/>
    </row>
    <row r="73" spans="1:45" ht="84.75" customHeight="1" x14ac:dyDescent="0.45">
      <c r="A73" s="5" t="s">
        <v>730</v>
      </c>
      <c r="B73" s="6" t="s">
        <v>731</v>
      </c>
      <c r="C73" s="6" t="s">
        <v>732</v>
      </c>
      <c r="D73" s="6" t="s">
        <v>733</v>
      </c>
      <c r="E73" s="6" t="s">
        <v>49</v>
      </c>
      <c r="F73" s="6" t="s">
        <v>734</v>
      </c>
      <c r="G73" s="6"/>
      <c r="H73" s="6" t="s">
        <v>51</v>
      </c>
      <c r="I73" s="6" t="s">
        <v>51</v>
      </c>
      <c r="J73" s="6" t="s">
        <v>688</v>
      </c>
      <c r="K73" s="6" t="s">
        <v>728</v>
      </c>
      <c r="L73" s="24">
        <v>49.49</v>
      </c>
      <c r="M73" s="24">
        <v>0.56999999999999995</v>
      </c>
      <c r="N73" s="16">
        <v>0</v>
      </c>
      <c r="O73" s="16" t="s">
        <v>176</v>
      </c>
      <c r="P73" s="6" t="s">
        <v>53</v>
      </c>
      <c r="Q73" s="6" t="s">
        <v>53</v>
      </c>
      <c r="R73" s="6">
        <v>2021</v>
      </c>
      <c r="S73" s="6"/>
      <c r="T73" s="6" t="s">
        <v>54</v>
      </c>
      <c r="U73" s="6" t="s">
        <v>715</v>
      </c>
      <c r="V73" s="6"/>
      <c r="W73" s="6" t="s">
        <v>735</v>
      </c>
      <c r="X73" s="8"/>
      <c r="Y73" s="8"/>
      <c r="Z73" s="8"/>
      <c r="AA73" s="8"/>
      <c r="AB73" s="8"/>
      <c r="AC73" s="8"/>
      <c r="AD73" s="8"/>
      <c r="AE73" s="8"/>
      <c r="AF73" s="8"/>
      <c r="AG73" s="8"/>
      <c r="AH73" s="8"/>
      <c r="AI73" s="8"/>
      <c r="AJ73" s="8"/>
      <c r="AK73" s="8"/>
      <c r="AL73" s="8"/>
      <c r="AM73" s="8"/>
      <c r="AN73" s="8"/>
      <c r="AO73" s="8"/>
      <c r="AP73" s="8"/>
      <c r="AQ73" s="8"/>
      <c r="AR73" s="8"/>
      <c r="AS73" s="8"/>
    </row>
    <row r="74" spans="1:45" ht="32.25" customHeight="1" x14ac:dyDescent="0.45">
      <c r="A74" s="5" t="s">
        <v>885</v>
      </c>
      <c r="B74" s="6" t="s">
        <v>886</v>
      </c>
      <c r="C74" s="6" t="s">
        <v>887</v>
      </c>
      <c r="D74" s="6" t="s">
        <v>888</v>
      </c>
      <c r="E74" s="6" t="s">
        <v>49</v>
      </c>
      <c r="F74" s="6" t="s">
        <v>889</v>
      </c>
      <c r="G74" s="6"/>
      <c r="H74" s="6" t="s">
        <v>844</v>
      </c>
      <c r="I74" s="6" t="s">
        <v>844</v>
      </c>
      <c r="J74" s="6" t="s">
        <v>844</v>
      </c>
      <c r="K74" s="6" t="s">
        <v>844</v>
      </c>
      <c r="L74" s="24">
        <v>43.410721000000002</v>
      </c>
      <c r="M74" s="24">
        <v>-0.63530500000000001</v>
      </c>
      <c r="N74" s="16">
        <v>15000000</v>
      </c>
      <c r="O74" s="16">
        <v>15000000</v>
      </c>
      <c r="P74" s="6" t="s">
        <v>65</v>
      </c>
      <c r="Q74" s="6" t="s">
        <v>184</v>
      </c>
      <c r="R74" s="6">
        <v>2020</v>
      </c>
      <c r="S74" s="6"/>
      <c r="T74" s="6" t="s">
        <v>54</v>
      </c>
      <c r="U74" s="6"/>
      <c r="V74" s="6"/>
      <c r="W74" s="7" t="s">
        <v>890</v>
      </c>
      <c r="X74" s="8"/>
      <c r="Y74" s="8"/>
      <c r="Z74" s="8"/>
      <c r="AA74" s="8"/>
      <c r="AB74" s="8"/>
      <c r="AC74" s="8"/>
      <c r="AD74" s="8"/>
      <c r="AE74" s="8"/>
      <c r="AF74" s="8"/>
      <c r="AG74" s="8"/>
      <c r="AH74" s="8"/>
      <c r="AI74" s="8"/>
      <c r="AJ74" s="8"/>
      <c r="AK74" s="8"/>
      <c r="AL74" s="8"/>
      <c r="AM74" s="8"/>
      <c r="AN74" s="8"/>
      <c r="AO74" s="8"/>
      <c r="AP74" s="8"/>
      <c r="AQ74" s="8"/>
      <c r="AR74" s="8"/>
      <c r="AS74" s="8"/>
    </row>
    <row r="75" spans="1:45" ht="42.75" customHeight="1" x14ac:dyDescent="0.45">
      <c r="A75" s="5" t="s">
        <v>1081</v>
      </c>
      <c r="B75" s="6" t="s">
        <v>1082</v>
      </c>
      <c r="C75" s="6" t="s">
        <v>1083</v>
      </c>
      <c r="D75" s="6" t="s">
        <v>1084</v>
      </c>
      <c r="E75" s="6" t="s">
        <v>49</v>
      </c>
      <c r="F75" s="6" t="s">
        <v>1085</v>
      </c>
      <c r="G75" s="6"/>
      <c r="H75" s="6" t="s">
        <v>51</v>
      </c>
      <c r="I75" s="6" t="s">
        <v>51</v>
      </c>
      <c r="J75" s="6" t="s">
        <v>1033</v>
      </c>
      <c r="K75" s="6" t="s">
        <v>1034</v>
      </c>
      <c r="L75" s="24">
        <v>49.476576000000001</v>
      </c>
      <c r="M75" s="24">
        <v>0.150169</v>
      </c>
      <c r="N75" s="16">
        <v>0</v>
      </c>
      <c r="O75" s="16" t="s">
        <v>176</v>
      </c>
      <c r="P75" s="6" t="s">
        <v>53</v>
      </c>
      <c r="Q75" s="6" t="s">
        <v>53</v>
      </c>
      <c r="R75" s="6">
        <v>2021</v>
      </c>
      <c r="S75" s="6"/>
      <c r="T75" s="6" t="s">
        <v>98</v>
      </c>
      <c r="U75" s="6" t="s">
        <v>1086</v>
      </c>
      <c r="V75" s="6"/>
      <c r="W75" s="6" t="s">
        <v>1087</v>
      </c>
      <c r="X75" s="8"/>
      <c r="Y75" s="8"/>
      <c r="Z75" s="8"/>
      <c r="AA75" s="8"/>
      <c r="AB75" s="8"/>
      <c r="AC75" s="8"/>
      <c r="AD75" s="8"/>
      <c r="AE75" s="8"/>
      <c r="AF75" s="8"/>
      <c r="AG75" s="8"/>
      <c r="AH75" s="8"/>
      <c r="AI75" s="8"/>
      <c r="AJ75" s="8"/>
      <c r="AK75" s="8"/>
      <c r="AL75" s="8"/>
      <c r="AM75" s="8"/>
      <c r="AN75" s="8"/>
      <c r="AO75" s="8"/>
      <c r="AP75" s="8"/>
      <c r="AQ75" s="8"/>
      <c r="AR75" s="8"/>
      <c r="AS75" s="8"/>
    </row>
    <row r="76" spans="1:45" ht="42.75" customHeight="1" x14ac:dyDescent="0.45">
      <c r="A76" s="1" t="s">
        <v>1088</v>
      </c>
      <c r="B76" s="2" t="s">
        <v>1089</v>
      </c>
      <c r="C76" s="2" t="s">
        <v>1090</v>
      </c>
      <c r="D76" s="2" t="s">
        <v>1091</v>
      </c>
      <c r="E76" s="2" t="s">
        <v>49</v>
      </c>
      <c r="F76" s="2" t="s">
        <v>50</v>
      </c>
      <c r="G76" s="2"/>
      <c r="H76" s="2" t="s">
        <v>51</v>
      </c>
      <c r="I76" s="2" t="s">
        <v>51</v>
      </c>
      <c r="J76" s="2" t="s">
        <v>1033</v>
      </c>
      <c r="K76" s="2" t="s">
        <v>1092</v>
      </c>
      <c r="L76" s="23">
        <v>51.045670999999999</v>
      </c>
      <c r="M76" s="23">
        <v>2.3533249999999999</v>
      </c>
      <c r="N76" s="16">
        <v>1500000</v>
      </c>
      <c r="O76" s="16">
        <v>1500000</v>
      </c>
      <c r="P76" s="2" t="s">
        <v>75</v>
      </c>
      <c r="Q76" s="2" t="s">
        <v>75</v>
      </c>
      <c r="R76" s="2">
        <v>2023</v>
      </c>
      <c r="S76" s="2">
        <v>2027</v>
      </c>
      <c r="T76" s="2" t="s">
        <v>54</v>
      </c>
      <c r="U76" s="2" t="s">
        <v>1093</v>
      </c>
      <c r="V76" s="2"/>
      <c r="W76" s="3" t="s">
        <v>1094</v>
      </c>
      <c r="X76" s="4"/>
      <c r="Y76" s="4"/>
      <c r="Z76" s="4"/>
      <c r="AA76" s="4"/>
      <c r="AB76" s="4"/>
      <c r="AC76" s="4"/>
      <c r="AD76" s="4"/>
      <c r="AE76" s="4"/>
      <c r="AF76" s="4"/>
      <c r="AG76" s="4"/>
      <c r="AH76" s="4"/>
      <c r="AI76" s="4"/>
      <c r="AJ76" s="4"/>
      <c r="AK76" s="4"/>
      <c r="AL76" s="4"/>
      <c r="AM76" s="4"/>
      <c r="AN76" s="4"/>
      <c r="AO76" s="4"/>
      <c r="AP76" s="4"/>
      <c r="AQ76" s="4"/>
      <c r="AR76" s="4"/>
      <c r="AS76" s="4"/>
    </row>
    <row r="77" spans="1:45" ht="32.25" customHeight="1" x14ac:dyDescent="0.45">
      <c r="A77" s="5" t="s">
        <v>1095</v>
      </c>
      <c r="B77" s="6" t="s">
        <v>1096</v>
      </c>
      <c r="C77" s="6" t="s">
        <v>1097</v>
      </c>
      <c r="D77" s="6" t="s">
        <v>1098</v>
      </c>
      <c r="E77" s="6" t="s">
        <v>49</v>
      </c>
      <c r="F77" s="6" t="s">
        <v>1099</v>
      </c>
      <c r="G77" s="6"/>
      <c r="H77" s="6" t="s">
        <v>51</v>
      </c>
      <c r="I77" s="6" t="s">
        <v>51</v>
      </c>
      <c r="J77" s="6" t="s">
        <v>1033</v>
      </c>
      <c r="K77" s="6" t="s">
        <v>1034</v>
      </c>
      <c r="L77" s="24">
        <v>43.423037999999998</v>
      </c>
      <c r="M77" s="24">
        <v>4.899394</v>
      </c>
      <c r="N77" s="16">
        <v>0</v>
      </c>
      <c r="O77" s="16" t="s">
        <v>176</v>
      </c>
      <c r="P77" s="6" t="s">
        <v>53</v>
      </c>
      <c r="Q77" s="6" t="s">
        <v>53</v>
      </c>
      <c r="R77" s="6"/>
      <c r="S77" s="6"/>
      <c r="T77" s="6" t="s">
        <v>98</v>
      </c>
      <c r="U77" s="6"/>
      <c r="V77" s="6"/>
      <c r="W77" s="6" t="s">
        <v>1100</v>
      </c>
      <c r="X77" s="8"/>
      <c r="Y77" s="8"/>
      <c r="Z77" s="8"/>
      <c r="AA77" s="8"/>
      <c r="AB77" s="8"/>
      <c r="AC77" s="8"/>
      <c r="AD77" s="8"/>
      <c r="AE77" s="8"/>
      <c r="AF77" s="8"/>
      <c r="AG77" s="8"/>
      <c r="AH77" s="8"/>
      <c r="AI77" s="8"/>
      <c r="AJ77" s="8"/>
      <c r="AK77" s="8"/>
      <c r="AL77" s="8"/>
      <c r="AM77" s="8"/>
      <c r="AN77" s="8"/>
      <c r="AO77" s="8"/>
      <c r="AP77" s="8"/>
      <c r="AQ77" s="8"/>
      <c r="AR77" s="8"/>
      <c r="AS77" s="8"/>
    </row>
    <row r="78" spans="1:45" ht="32.25" customHeight="1" x14ac:dyDescent="0.45">
      <c r="A78" s="1" t="s">
        <v>1101</v>
      </c>
      <c r="B78" s="2" t="s">
        <v>1102</v>
      </c>
      <c r="C78" s="2" t="s">
        <v>1103</v>
      </c>
      <c r="D78" s="2" t="s">
        <v>1104</v>
      </c>
      <c r="E78" s="2" t="s">
        <v>49</v>
      </c>
      <c r="F78" s="2" t="s">
        <v>1105</v>
      </c>
      <c r="G78" s="2"/>
      <c r="H78" s="2" t="s">
        <v>51</v>
      </c>
      <c r="I78" s="2" t="s">
        <v>51</v>
      </c>
      <c r="J78" s="2" t="s">
        <v>1033</v>
      </c>
      <c r="K78" s="2" t="s">
        <v>1034</v>
      </c>
      <c r="L78" s="23">
        <v>47.28398</v>
      </c>
      <c r="M78" s="23">
        <v>-2.193095</v>
      </c>
      <c r="N78" s="16">
        <v>2300000</v>
      </c>
      <c r="O78" s="16">
        <v>2300000</v>
      </c>
      <c r="P78" s="2" t="s">
        <v>53</v>
      </c>
      <c r="Q78" s="2" t="s">
        <v>53</v>
      </c>
      <c r="R78" s="2"/>
      <c r="S78" s="2"/>
      <c r="T78" s="2" t="s">
        <v>98</v>
      </c>
      <c r="U78" s="2"/>
      <c r="V78" s="2"/>
      <c r="W78" s="2" t="s">
        <v>1106</v>
      </c>
      <c r="X78" s="4"/>
      <c r="Y78" s="4"/>
      <c r="Z78" s="4"/>
      <c r="AA78" s="4"/>
      <c r="AB78" s="4"/>
      <c r="AC78" s="4"/>
      <c r="AD78" s="4"/>
      <c r="AE78" s="4"/>
      <c r="AF78" s="4"/>
      <c r="AG78" s="4"/>
      <c r="AH78" s="4"/>
      <c r="AI78" s="4"/>
      <c r="AJ78" s="4"/>
      <c r="AK78" s="4"/>
      <c r="AL78" s="4"/>
      <c r="AM78" s="4"/>
      <c r="AN78" s="4"/>
      <c r="AO78" s="4"/>
      <c r="AP78" s="4"/>
      <c r="AQ78" s="4"/>
      <c r="AR78" s="4"/>
      <c r="AS78" s="4"/>
    </row>
    <row r="79" spans="1:45" ht="32.25" customHeight="1" x14ac:dyDescent="0.45">
      <c r="A79" s="5" t="s">
        <v>1107</v>
      </c>
      <c r="B79" s="6" t="s">
        <v>1108</v>
      </c>
      <c r="C79" s="6" t="s">
        <v>1109</v>
      </c>
      <c r="D79" s="6" t="s">
        <v>1110</v>
      </c>
      <c r="E79" s="6" t="s">
        <v>49</v>
      </c>
      <c r="F79" s="6" t="s">
        <v>1111</v>
      </c>
      <c r="G79" s="6"/>
      <c r="H79" s="6" t="s">
        <v>51</v>
      </c>
      <c r="I79" s="6" t="s">
        <v>51</v>
      </c>
      <c r="J79" s="6" t="s">
        <v>1033</v>
      </c>
      <c r="K79" s="6" t="s">
        <v>1034</v>
      </c>
      <c r="L79" s="24">
        <v>43.507316000000003</v>
      </c>
      <c r="M79" s="24">
        <v>-1.489544</v>
      </c>
      <c r="N79" s="16">
        <v>0</v>
      </c>
      <c r="O79" s="16" t="s">
        <v>176</v>
      </c>
      <c r="P79" s="6" t="s">
        <v>53</v>
      </c>
      <c r="Q79" s="6" t="s">
        <v>53</v>
      </c>
      <c r="R79" s="6"/>
      <c r="S79" s="6"/>
      <c r="T79" s="6" t="s">
        <v>98</v>
      </c>
      <c r="U79" s="6"/>
      <c r="V79" s="6"/>
      <c r="W79" s="6" t="s">
        <v>1112</v>
      </c>
      <c r="X79" s="8"/>
      <c r="Y79" s="8"/>
      <c r="Z79" s="8"/>
      <c r="AA79" s="8"/>
      <c r="AB79" s="8"/>
      <c r="AC79" s="8"/>
      <c r="AD79" s="8"/>
      <c r="AE79" s="8"/>
      <c r="AF79" s="8"/>
      <c r="AG79" s="8"/>
      <c r="AH79" s="8"/>
      <c r="AI79" s="8"/>
      <c r="AJ79" s="8"/>
      <c r="AK79" s="8"/>
      <c r="AL79" s="8"/>
      <c r="AM79" s="8"/>
      <c r="AN79" s="8"/>
      <c r="AO79" s="8"/>
      <c r="AP79" s="8"/>
      <c r="AQ79" s="8"/>
      <c r="AR79" s="8"/>
      <c r="AS79" s="8"/>
    </row>
    <row r="80" spans="1:45" ht="21.75" customHeight="1" x14ac:dyDescent="0.45">
      <c r="A80" s="1" t="s">
        <v>1113</v>
      </c>
      <c r="B80" s="2" t="s">
        <v>1114</v>
      </c>
      <c r="C80" s="2" t="s">
        <v>1115</v>
      </c>
      <c r="D80" s="2" t="s">
        <v>1115</v>
      </c>
      <c r="E80" s="2" t="s">
        <v>49</v>
      </c>
      <c r="F80" s="2" t="s">
        <v>1116</v>
      </c>
      <c r="G80" s="2"/>
      <c r="H80" s="2" t="s">
        <v>51</v>
      </c>
      <c r="I80" s="2" t="s">
        <v>51</v>
      </c>
      <c r="J80" s="2" t="s">
        <v>1033</v>
      </c>
      <c r="K80" s="2" t="s">
        <v>1117</v>
      </c>
      <c r="L80" s="23">
        <v>43.022384000000002</v>
      </c>
      <c r="M80" s="23">
        <v>3.0531640000000002</v>
      </c>
      <c r="N80" s="16">
        <v>0</v>
      </c>
      <c r="O80" s="16" t="s">
        <v>176</v>
      </c>
      <c r="P80" s="2" t="s">
        <v>53</v>
      </c>
      <c r="Q80" s="2" t="s">
        <v>53</v>
      </c>
      <c r="R80" s="2"/>
      <c r="S80" s="2"/>
      <c r="T80" s="2" t="s">
        <v>98</v>
      </c>
      <c r="U80" s="2"/>
      <c r="V80" s="2"/>
      <c r="W80" s="2" t="s">
        <v>1118</v>
      </c>
      <c r="X80" s="4"/>
      <c r="Y80" s="4"/>
      <c r="Z80" s="4"/>
      <c r="AA80" s="4"/>
      <c r="AB80" s="4"/>
      <c r="AC80" s="4"/>
      <c r="AD80" s="4"/>
      <c r="AE80" s="4"/>
      <c r="AF80" s="4"/>
      <c r="AG80" s="4"/>
      <c r="AH80" s="4"/>
      <c r="AI80" s="4"/>
      <c r="AJ80" s="4"/>
      <c r="AK80" s="4"/>
      <c r="AL80" s="4"/>
      <c r="AM80" s="4"/>
      <c r="AN80" s="4"/>
      <c r="AO80" s="4"/>
      <c r="AP80" s="4"/>
      <c r="AQ80" s="4"/>
      <c r="AR80" s="4"/>
      <c r="AS80" s="4"/>
    </row>
    <row r="81" spans="1:45" ht="32.25" customHeight="1" x14ac:dyDescent="0.45">
      <c r="A81" s="1" t="s">
        <v>141</v>
      </c>
      <c r="B81" s="2" t="s">
        <v>142</v>
      </c>
      <c r="C81" s="2" t="s">
        <v>143</v>
      </c>
      <c r="D81" s="2" t="s">
        <v>112</v>
      </c>
      <c r="E81" s="2" t="s">
        <v>144</v>
      </c>
      <c r="F81" s="2" t="s">
        <v>144</v>
      </c>
      <c r="G81" s="2"/>
      <c r="H81" s="2" t="s">
        <v>84</v>
      </c>
      <c r="I81" s="2" t="s">
        <v>84</v>
      </c>
      <c r="J81" s="2" t="s">
        <v>85</v>
      </c>
      <c r="K81" s="2" t="s">
        <v>85</v>
      </c>
      <c r="L81" s="23">
        <v>55.204637509999998</v>
      </c>
      <c r="M81" s="23">
        <v>-1.520701117</v>
      </c>
      <c r="N81" s="16">
        <v>2750000</v>
      </c>
      <c r="O81" s="16">
        <v>2750000</v>
      </c>
      <c r="P81" s="2" t="s">
        <v>53</v>
      </c>
      <c r="Q81" s="2" t="s">
        <v>53</v>
      </c>
      <c r="R81" s="2"/>
      <c r="S81" s="2"/>
      <c r="T81" s="2"/>
      <c r="U81" s="2"/>
      <c r="V81" s="2"/>
      <c r="W81" s="2"/>
      <c r="X81" s="4"/>
      <c r="Y81" s="4"/>
      <c r="Z81" s="4"/>
      <c r="AA81" s="4"/>
      <c r="AB81" s="4"/>
      <c r="AC81" s="4"/>
      <c r="AD81" s="4"/>
      <c r="AE81" s="4"/>
      <c r="AF81" s="4"/>
      <c r="AG81" s="4"/>
      <c r="AH81" s="4"/>
      <c r="AI81" s="4"/>
      <c r="AJ81" s="4"/>
      <c r="AK81" s="4"/>
      <c r="AL81" s="4"/>
      <c r="AM81" s="4"/>
      <c r="AN81" s="4"/>
      <c r="AO81" s="4"/>
      <c r="AP81" s="4"/>
      <c r="AQ81" s="4"/>
      <c r="AR81" s="4"/>
      <c r="AS81" s="4"/>
    </row>
    <row r="82" spans="1:45" ht="32.25" customHeight="1" x14ac:dyDescent="0.45">
      <c r="A82" s="5" t="s">
        <v>145</v>
      </c>
      <c r="B82" s="6" t="s">
        <v>146</v>
      </c>
      <c r="C82" s="6" t="s">
        <v>147</v>
      </c>
      <c r="D82" s="6" t="s">
        <v>148</v>
      </c>
      <c r="E82" s="6" t="s">
        <v>144</v>
      </c>
      <c r="F82" s="6" t="s">
        <v>144</v>
      </c>
      <c r="G82" s="6"/>
      <c r="H82" s="6" t="s">
        <v>84</v>
      </c>
      <c r="I82" s="6" t="s">
        <v>84</v>
      </c>
      <c r="J82" s="6" t="s">
        <v>85</v>
      </c>
      <c r="K82" s="6" t="s">
        <v>85</v>
      </c>
      <c r="L82" s="24">
        <v>53.285271999999999</v>
      </c>
      <c r="M82" s="24">
        <v>-2.80288</v>
      </c>
      <c r="N82" s="16">
        <v>250000</v>
      </c>
      <c r="O82" s="16">
        <v>250000</v>
      </c>
      <c r="P82" s="6" t="s">
        <v>65</v>
      </c>
      <c r="Q82" s="6" t="s">
        <v>149</v>
      </c>
      <c r="R82" s="6"/>
      <c r="S82" s="6"/>
      <c r="T82" s="6" t="s">
        <v>98</v>
      </c>
      <c r="U82" s="6"/>
      <c r="V82" s="6"/>
      <c r="W82" s="7" t="s">
        <v>150</v>
      </c>
      <c r="X82" s="8"/>
      <c r="Y82" s="8"/>
      <c r="Z82" s="8"/>
      <c r="AA82" s="8"/>
      <c r="AB82" s="8"/>
      <c r="AC82" s="8"/>
      <c r="AD82" s="8"/>
      <c r="AE82" s="8"/>
      <c r="AF82" s="8"/>
      <c r="AG82" s="8"/>
      <c r="AH82" s="8"/>
      <c r="AI82" s="8"/>
      <c r="AJ82" s="8"/>
      <c r="AK82" s="8"/>
      <c r="AL82" s="8"/>
      <c r="AM82" s="8"/>
      <c r="AN82" s="8"/>
      <c r="AO82" s="8"/>
      <c r="AP82" s="8"/>
      <c r="AQ82" s="8"/>
      <c r="AR82" s="8"/>
      <c r="AS82" s="8"/>
    </row>
    <row r="83" spans="1:45" ht="32.25" customHeight="1" x14ac:dyDescent="0.45">
      <c r="A83" s="1" t="s">
        <v>386</v>
      </c>
      <c r="B83" s="2" t="s">
        <v>387</v>
      </c>
      <c r="C83" s="2" t="s">
        <v>388</v>
      </c>
      <c r="D83" s="2" t="s">
        <v>389</v>
      </c>
      <c r="E83" s="2" t="s">
        <v>144</v>
      </c>
      <c r="F83" s="2" t="s">
        <v>390</v>
      </c>
      <c r="G83" s="2"/>
      <c r="H83" s="2" t="s">
        <v>51</v>
      </c>
      <c r="I83" s="2" t="s">
        <v>51</v>
      </c>
      <c r="J83" s="2" t="s">
        <v>157</v>
      </c>
      <c r="K83" s="2" t="s">
        <v>157</v>
      </c>
      <c r="L83" s="23">
        <v>53.154286960041603</v>
      </c>
      <c r="M83" s="23">
        <v>-3.06204804592877</v>
      </c>
      <c r="N83" s="16">
        <v>800000</v>
      </c>
      <c r="O83" s="16">
        <v>800000</v>
      </c>
      <c r="P83" s="2" t="s">
        <v>65</v>
      </c>
      <c r="Q83" s="2" t="s">
        <v>184</v>
      </c>
      <c r="R83" s="2">
        <v>2018</v>
      </c>
      <c r="S83" s="2"/>
      <c r="T83" s="2" t="s">
        <v>54</v>
      </c>
      <c r="U83" s="2" t="s">
        <v>391</v>
      </c>
      <c r="V83" s="2"/>
      <c r="W83" s="3" t="s">
        <v>392</v>
      </c>
      <c r="X83" s="4"/>
      <c r="Y83" s="4"/>
      <c r="Z83" s="4"/>
      <c r="AA83" s="4"/>
      <c r="AB83" s="4"/>
      <c r="AC83" s="4"/>
      <c r="AD83" s="4"/>
      <c r="AE83" s="4"/>
      <c r="AF83" s="4"/>
      <c r="AG83" s="4"/>
      <c r="AH83" s="4"/>
      <c r="AI83" s="4"/>
      <c r="AJ83" s="4"/>
      <c r="AK83" s="4"/>
      <c r="AL83" s="4"/>
      <c r="AM83" s="4"/>
      <c r="AN83" s="4"/>
      <c r="AO83" s="4"/>
      <c r="AP83" s="4"/>
      <c r="AQ83" s="4"/>
      <c r="AR83" s="4"/>
      <c r="AS83" s="4"/>
    </row>
    <row r="84" spans="1:45" ht="21.75" customHeight="1" x14ac:dyDescent="0.45">
      <c r="A84" s="5" t="s">
        <v>393</v>
      </c>
      <c r="B84" s="6" t="s">
        <v>394</v>
      </c>
      <c r="C84" s="6" t="s">
        <v>172</v>
      </c>
      <c r="D84" s="6" t="s">
        <v>395</v>
      </c>
      <c r="E84" s="6" t="s">
        <v>144</v>
      </c>
      <c r="F84" s="6" t="s">
        <v>396</v>
      </c>
      <c r="G84" s="6"/>
      <c r="H84" s="6" t="s">
        <v>51</v>
      </c>
      <c r="I84" s="6" t="s">
        <v>51</v>
      </c>
      <c r="J84" s="6" t="s">
        <v>157</v>
      </c>
      <c r="K84" s="6" t="s">
        <v>175</v>
      </c>
      <c r="L84" s="24">
        <v>53.219225000000002</v>
      </c>
      <c r="M84" s="24">
        <v>-1.8710979999999999</v>
      </c>
      <c r="N84" s="16">
        <v>230000</v>
      </c>
      <c r="O84" s="16">
        <v>230000</v>
      </c>
      <c r="P84" s="6" t="s">
        <v>65</v>
      </c>
      <c r="Q84" s="6" t="s">
        <v>184</v>
      </c>
      <c r="R84" s="6">
        <v>2020</v>
      </c>
      <c r="S84" s="6">
        <v>2030</v>
      </c>
      <c r="T84" s="6" t="s">
        <v>54</v>
      </c>
      <c r="U84" s="6" t="s">
        <v>397</v>
      </c>
      <c r="V84" s="6"/>
      <c r="W84" s="6" t="s">
        <v>398</v>
      </c>
      <c r="X84" s="8"/>
      <c r="Y84" s="8"/>
      <c r="Z84" s="8"/>
      <c r="AA84" s="8"/>
      <c r="AB84" s="8"/>
      <c r="AC84" s="8"/>
      <c r="AD84" s="8"/>
      <c r="AE84" s="8"/>
      <c r="AF84" s="8"/>
      <c r="AG84" s="8"/>
      <c r="AH84" s="8"/>
      <c r="AI84" s="8"/>
      <c r="AJ84" s="8"/>
      <c r="AK84" s="8"/>
      <c r="AL84" s="8"/>
      <c r="AM84" s="8"/>
      <c r="AN84" s="8"/>
      <c r="AO84" s="8"/>
      <c r="AP84" s="8"/>
      <c r="AQ84" s="8"/>
      <c r="AR84" s="8"/>
      <c r="AS84" s="8"/>
    </row>
    <row r="85" spans="1:45" ht="21.75" customHeight="1" x14ac:dyDescent="0.45">
      <c r="A85" s="1" t="s">
        <v>399</v>
      </c>
      <c r="B85" s="2" t="s">
        <v>400</v>
      </c>
      <c r="C85" s="2" t="s">
        <v>401</v>
      </c>
      <c r="D85" s="2" t="s">
        <v>402</v>
      </c>
      <c r="E85" s="2" t="s">
        <v>144</v>
      </c>
      <c r="F85" s="2" t="s">
        <v>396</v>
      </c>
      <c r="G85" s="2"/>
      <c r="H85" s="2" t="s">
        <v>51</v>
      </c>
      <c r="I85" s="2" t="s">
        <v>51</v>
      </c>
      <c r="J85" s="2" t="s">
        <v>157</v>
      </c>
      <c r="K85" s="2" t="s">
        <v>157</v>
      </c>
      <c r="L85" s="23">
        <v>53.34</v>
      </c>
      <c r="M85" s="23">
        <v>-1.75</v>
      </c>
      <c r="N85" s="16">
        <v>1000000</v>
      </c>
      <c r="O85" s="16">
        <v>1000000</v>
      </c>
      <c r="P85" s="2" t="s">
        <v>65</v>
      </c>
      <c r="Q85" s="2" t="s">
        <v>184</v>
      </c>
      <c r="R85" s="2">
        <v>2020</v>
      </c>
      <c r="S85" s="2">
        <v>2030</v>
      </c>
      <c r="T85" s="2" t="s">
        <v>54</v>
      </c>
      <c r="U85" s="2" t="s">
        <v>397</v>
      </c>
      <c r="V85" s="2"/>
      <c r="W85" s="2" t="s">
        <v>398</v>
      </c>
      <c r="X85" s="4"/>
      <c r="Y85" s="4"/>
      <c r="Z85" s="4"/>
      <c r="AA85" s="4"/>
      <c r="AB85" s="4"/>
      <c r="AC85" s="4"/>
      <c r="AD85" s="4"/>
      <c r="AE85" s="4"/>
      <c r="AF85" s="4"/>
      <c r="AG85" s="4"/>
      <c r="AH85" s="4"/>
      <c r="AI85" s="4"/>
      <c r="AJ85" s="4"/>
      <c r="AK85" s="4"/>
      <c r="AL85" s="4"/>
      <c r="AM85" s="4"/>
      <c r="AN85" s="4"/>
      <c r="AO85" s="4"/>
      <c r="AP85" s="4"/>
      <c r="AQ85" s="4"/>
      <c r="AR85" s="4"/>
      <c r="AS85" s="4"/>
    </row>
    <row r="86" spans="1:45" ht="21.75" customHeight="1" x14ac:dyDescent="0.45">
      <c r="A86" s="5" t="s">
        <v>403</v>
      </c>
      <c r="B86" s="6" t="s">
        <v>404</v>
      </c>
      <c r="C86" s="6" t="s">
        <v>405</v>
      </c>
      <c r="D86" s="6" t="s">
        <v>406</v>
      </c>
      <c r="E86" s="6" t="s">
        <v>144</v>
      </c>
      <c r="F86" s="6" t="s">
        <v>396</v>
      </c>
      <c r="G86" s="6"/>
      <c r="H86" s="6" t="s">
        <v>51</v>
      </c>
      <c r="I86" s="6" t="s">
        <v>51</v>
      </c>
      <c r="J86" s="6" t="s">
        <v>157</v>
      </c>
      <c r="K86" s="6" t="s">
        <v>175</v>
      </c>
      <c r="L86" s="24">
        <v>53.303224</v>
      </c>
      <c r="M86" s="24">
        <v>-1.8610040000000001</v>
      </c>
      <c r="N86" s="16">
        <v>0</v>
      </c>
      <c r="O86" s="16" t="s">
        <v>176</v>
      </c>
      <c r="P86" s="6" t="s">
        <v>65</v>
      </c>
      <c r="Q86" s="6" t="s">
        <v>184</v>
      </c>
      <c r="R86" s="6">
        <v>2020</v>
      </c>
      <c r="S86" s="6">
        <v>2030</v>
      </c>
      <c r="T86" s="6" t="s">
        <v>54</v>
      </c>
      <c r="U86" s="6" t="s">
        <v>397</v>
      </c>
      <c r="V86" s="6"/>
      <c r="W86" s="6" t="s">
        <v>398</v>
      </c>
      <c r="X86" s="8"/>
      <c r="Y86" s="8"/>
      <c r="Z86" s="8"/>
      <c r="AA86" s="8"/>
      <c r="AB86" s="8"/>
      <c r="AC86" s="8"/>
      <c r="AD86" s="8"/>
      <c r="AE86" s="8"/>
      <c r="AF86" s="8"/>
      <c r="AG86" s="8"/>
      <c r="AH86" s="8"/>
      <c r="AI86" s="8"/>
      <c r="AJ86" s="8"/>
      <c r="AK86" s="8"/>
      <c r="AL86" s="8"/>
      <c r="AM86" s="8"/>
      <c r="AN86" s="8"/>
      <c r="AO86" s="8"/>
      <c r="AP86" s="8"/>
      <c r="AQ86" s="8"/>
      <c r="AR86" s="8"/>
      <c r="AS86" s="8"/>
    </row>
    <row r="87" spans="1:45" ht="21.75" customHeight="1" x14ac:dyDescent="0.45">
      <c r="A87" s="1" t="s">
        <v>449</v>
      </c>
      <c r="B87" s="2" t="s">
        <v>450</v>
      </c>
      <c r="C87" s="2" t="s">
        <v>451</v>
      </c>
      <c r="D87" s="2" t="s">
        <v>452</v>
      </c>
      <c r="E87" s="2" t="s">
        <v>144</v>
      </c>
      <c r="F87" s="2" t="s">
        <v>453</v>
      </c>
      <c r="G87" s="2"/>
      <c r="H87" s="2" t="s">
        <v>420</v>
      </c>
      <c r="I87" s="2" t="s">
        <v>420</v>
      </c>
      <c r="J87" s="2" t="s">
        <v>420</v>
      </c>
      <c r="K87" s="2" t="s">
        <v>420</v>
      </c>
      <c r="L87" s="23">
        <v>52.472432911881</v>
      </c>
      <c r="M87" s="23">
        <v>1.7465113035522599</v>
      </c>
      <c r="N87" s="16">
        <v>1500000</v>
      </c>
      <c r="O87" s="16">
        <v>1500000</v>
      </c>
      <c r="P87" s="2" t="s">
        <v>53</v>
      </c>
      <c r="Q87" s="2" t="s">
        <v>53</v>
      </c>
      <c r="R87" s="2">
        <v>2023</v>
      </c>
      <c r="S87" s="2"/>
      <c r="T87" s="2" t="s">
        <v>54</v>
      </c>
      <c r="U87" s="2" t="s">
        <v>454</v>
      </c>
      <c r="V87" s="2" t="s">
        <v>197</v>
      </c>
      <c r="W87" s="3" t="s">
        <v>455</v>
      </c>
      <c r="X87" s="4"/>
      <c r="Y87" s="4"/>
      <c r="Z87" s="4"/>
      <c r="AA87" s="4"/>
      <c r="AB87" s="4"/>
      <c r="AC87" s="4"/>
      <c r="AD87" s="4"/>
      <c r="AE87" s="4"/>
      <c r="AF87" s="4"/>
      <c r="AG87" s="4"/>
      <c r="AH87" s="4"/>
      <c r="AI87" s="4"/>
      <c r="AJ87" s="4"/>
      <c r="AK87" s="4"/>
      <c r="AL87" s="4"/>
      <c r="AM87" s="4"/>
      <c r="AN87" s="4"/>
      <c r="AO87" s="4"/>
      <c r="AP87" s="4"/>
      <c r="AQ87" s="4"/>
      <c r="AR87" s="4"/>
      <c r="AS87" s="4"/>
    </row>
    <row r="88" spans="1:45" ht="32.25" customHeight="1" x14ac:dyDescent="0.45">
      <c r="A88" s="5" t="s">
        <v>456</v>
      </c>
      <c r="B88" s="6" t="s">
        <v>457</v>
      </c>
      <c r="C88" s="6" t="s">
        <v>458</v>
      </c>
      <c r="D88" s="6" t="s">
        <v>459</v>
      </c>
      <c r="E88" s="6" t="s">
        <v>144</v>
      </c>
      <c r="F88" s="6" t="s">
        <v>460</v>
      </c>
      <c r="G88" s="6"/>
      <c r="H88" s="6" t="s">
        <v>84</v>
      </c>
      <c r="I88" s="6" t="s">
        <v>84</v>
      </c>
      <c r="J88" s="6" t="s">
        <v>85</v>
      </c>
      <c r="K88" s="6" t="s">
        <v>461</v>
      </c>
      <c r="L88" s="24">
        <v>53.738900000000001</v>
      </c>
      <c r="M88" s="24">
        <v>-0.99601799999999996</v>
      </c>
      <c r="N88" s="16">
        <v>8000000</v>
      </c>
      <c r="O88" s="16" t="s">
        <v>462</v>
      </c>
      <c r="P88" s="6" t="s">
        <v>75</v>
      </c>
      <c r="Q88" s="6" t="s">
        <v>75</v>
      </c>
      <c r="R88" s="6">
        <v>2021</v>
      </c>
      <c r="S88" s="6"/>
      <c r="T88" s="6" t="s">
        <v>54</v>
      </c>
      <c r="U88" s="6"/>
      <c r="V88" s="6"/>
      <c r="W88" s="7" t="s">
        <v>463</v>
      </c>
      <c r="X88" s="8"/>
      <c r="Y88" s="8"/>
      <c r="Z88" s="8"/>
      <c r="AA88" s="8"/>
      <c r="AB88" s="8"/>
      <c r="AC88" s="8"/>
      <c r="AD88" s="8"/>
      <c r="AE88" s="8"/>
      <c r="AF88" s="8"/>
      <c r="AG88" s="8"/>
      <c r="AH88" s="8"/>
      <c r="AI88" s="8"/>
      <c r="AJ88" s="8"/>
      <c r="AK88" s="8"/>
      <c r="AL88" s="8"/>
      <c r="AM88" s="8"/>
      <c r="AN88" s="8"/>
      <c r="AO88" s="8"/>
      <c r="AP88" s="8"/>
      <c r="AQ88" s="8"/>
      <c r="AR88" s="8"/>
      <c r="AS88" s="8"/>
    </row>
    <row r="89" spans="1:45" ht="21.75" customHeight="1" x14ac:dyDescent="0.45">
      <c r="A89" s="1" t="s">
        <v>464</v>
      </c>
      <c r="B89" s="2" t="s">
        <v>465</v>
      </c>
      <c r="C89" s="2" t="s">
        <v>466</v>
      </c>
      <c r="D89" s="2" t="s">
        <v>467</v>
      </c>
      <c r="E89" s="2" t="s">
        <v>144</v>
      </c>
      <c r="F89" s="2" t="s">
        <v>144</v>
      </c>
      <c r="G89" s="2"/>
      <c r="H89" s="2" t="s">
        <v>84</v>
      </c>
      <c r="I89" s="2" t="s">
        <v>84</v>
      </c>
      <c r="J89" s="2" t="s">
        <v>468</v>
      </c>
      <c r="K89" s="2" t="s">
        <v>468</v>
      </c>
      <c r="L89" s="23">
        <v>53.64</v>
      </c>
      <c r="M89" s="23">
        <v>-0.28000000000000003</v>
      </c>
      <c r="N89" s="16">
        <v>0</v>
      </c>
      <c r="O89" s="16" t="s">
        <v>176</v>
      </c>
      <c r="P89" s="2" t="s">
        <v>65</v>
      </c>
      <c r="Q89" s="2" t="s">
        <v>184</v>
      </c>
      <c r="R89" s="2">
        <v>2022</v>
      </c>
      <c r="S89" s="2"/>
      <c r="T89" s="2" t="s">
        <v>98</v>
      </c>
      <c r="U89" s="2" t="s">
        <v>469</v>
      </c>
      <c r="V89" s="2"/>
      <c r="W89" s="2" t="s">
        <v>470</v>
      </c>
      <c r="X89" s="4"/>
      <c r="Y89" s="4"/>
      <c r="Z89" s="4"/>
      <c r="AA89" s="4"/>
      <c r="AB89" s="4"/>
      <c r="AC89" s="4"/>
      <c r="AD89" s="4"/>
      <c r="AE89" s="4"/>
      <c r="AF89" s="4"/>
      <c r="AG89" s="4"/>
      <c r="AH89" s="4"/>
      <c r="AI89" s="4"/>
      <c r="AJ89" s="4"/>
      <c r="AK89" s="4"/>
      <c r="AL89" s="4"/>
      <c r="AM89" s="4"/>
      <c r="AN89" s="4"/>
      <c r="AO89" s="4"/>
      <c r="AP89" s="4"/>
      <c r="AQ89" s="4"/>
      <c r="AR89" s="4"/>
      <c r="AS89" s="4"/>
    </row>
    <row r="90" spans="1:45" ht="32.25" customHeight="1" x14ac:dyDescent="0.45">
      <c r="A90" s="5" t="s">
        <v>570</v>
      </c>
      <c r="B90" s="6" t="s">
        <v>571</v>
      </c>
      <c r="C90" s="6" t="s">
        <v>572</v>
      </c>
      <c r="D90" s="6" t="s">
        <v>573</v>
      </c>
      <c r="E90" s="6" t="s">
        <v>144</v>
      </c>
      <c r="F90" s="6" t="s">
        <v>574</v>
      </c>
      <c r="G90" s="6"/>
      <c r="H90" s="6" t="s">
        <v>51</v>
      </c>
      <c r="I90" s="6" t="s">
        <v>51</v>
      </c>
      <c r="J90" s="6" t="s">
        <v>476</v>
      </c>
      <c r="K90" s="6" t="s">
        <v>476</v>
      </c>
      <c r="L90" s="24">
        <v>53.734067715933598</v>
      </c>
      <c r="M90" s="24">
        <v>-0.238886232584993</v>
      </c>
      <c r="N90" s="16">
        <v>900000</v>
      </c>
      <c r="O90" s="16">
        <v>900000</v>
      </c>
      <c r="P90" s="6" t="s">
        <v>75</v>
      </c>
      <c r="Q90" s="6" t="s">
        <v>75</v>
      </c>
      <c r="R90" s="6">
        <v>2022</v>
      </c>
      <c r="S90" s="6"/>
      <c r="T90" s="6" t="s">
        <v>54</v>
      </c>
      <c r="U90" s="6" t="s">
        <v>575</v>
      </c>
      <c r="V90" s="6" t="s">
        <v>576</v>
      </c>
      <c r="W90" s="7" t="s">
        <v>577</v>
      </c>
      <c r="X90" s="8"/>
      <c r="Y90" s="8"/>
      <c r="Z90" s="8"/>
      <c r="AA90" s="8"/>
      <c r="AB90" s="8"/>
      <c r="AC90" s="8"/>
      <c r="AD90" s="8"/>
      <c r="AE90" s="8"/>
      <c r="AF90" s="8"/>
      <c r="AG90" s="8"/>
      <c r="AH90" s="8"/>
      <c r="AI90" s="8"/>
      <c r="AJ90" s="8"/>
      <c r="AK90" s="8"/>
      <c r="AL90" s="8"/>
      <c r="AM90" s="8"/>
      <c r="AN90" s="8"/>
      <c r="AO90" s="8"/>
      <c r="AP90" s="8"/>
      <c r="AQ90" s="8"/>
      <c r="AR90" s="8"/>
      <c r="AS90" s="8"/>
    </row>
    <row r="91" spans="1:45" ht="21.75" customHeight="1" x14ac:dyDescent="0.45">
      <c r="A91" s="1" t="s">
        <v>578</v>
      </c>
      <c r="B91" s="2" t="s">
        <v>579</v>
      </c>
      <c r="C91" s="2" t="s">
        <v>580</v>
      </c>
      <c r="D91" s="2" t="s">
        <v>581</v>
      </c>
      <c r="E91" s="2" t="s">
        <v>144</v>
      </c>
      <c r="F91" s="2" t="s">
        <v>582</v>
      </c>
      <c r="G91" s="2"/>
      <c r="H91" s="2" t="s">
        <v>51</v>
      </c>
      <c r="I91" s="2" t="s">
        <v>51</v>
      </c>
      <c r="J91" s="2" t="s">
        <v>476</v>
      </c>
      <c r="K91" s="2" t="s">
        <v>476</v>
      </c>
      <c r="L91" s="23">
        <v>54.524674285595403</v>
      </c>
      <c r="M91" s="23">
        <v>-1.2954635792862299</v>
      </c>
      <c r="N91" s="16">
        <v>2000000</v>
      </c>
      <c r="O91" s="16">
        <v>2000000</v>
      </c>
      <c r="P91" s="2" t="s">
        <v>75</v>
      </c>
      <c r="Q91" s="2" t="s">
        <v>75</v>
      </c>
      <c r="R91" s="2">
        <v>2021</v>
      </c>
      <c r="S91" s="2"/>
      <c r="T91" s="2" t="s">
        <v>54</v>
      </c>
      <c r="U91" s="2" t="s">
        <v>583</v>
      </c>
      <c r="V91" s="2" t="s">
        <v>197</v>
      </c>
      <c r="W91" s="3" t="s">
        <v>584</v>
      </c>
      <c r="X91" s="4"/>
      <c r="Y91" s="4"/>
      <c r="Z91" s="4"/>
      <c r="AA91" s="4"/>
      <c r="AB91" s="4"/>
      <c r="AC91" s="4"/>
      <c r="AD91" s="4"/>
      <c r="AE91" s="4"/>
      <c r="AF91" s="4"/>
      <c r="AG91" s="4"/>
      <c r="AH91" s="4"/>
      <c r="AI91" s="4"/>
      <c r="AJ91" s="4"/>
      <c r="AK91" s="4"/>
      <c r="AL91" s="4"/>
      <c r="AM91" s="4"/>
      <c r="AN91" s="4"/>
      <c r="AO91" s="4"/>
      <c r="AP91" s="4"/>
      <c r="AQ91" s="4"/>
      <c r="AR91" s="4"/>
      <c r="AS91" s="4"/>
    </row>
    <row r="92" spans="1:45" ht="21.75" customHeight="1" x14ac:dyDescent="0.45">
      <c r="A92" s="5" t="s">
        <v>585</v>
      </c>
      <c r="B92" s="6" t="s">
        <v>586</v>
      </c>
      <c r="C92" s="6" t="s">
        <v>587</v>
      </c>
      <c r="D92" s="6" t="s">
        <v>588</v>
      </c>
      <c r="E92" s="6" t="s">
        <v>144</v>
      </c>
      <c r="F92" s="6" t="s">
        <v>589</v>
      </c>
      <c r="G92" s="6"/>
      <c r="H92" s="6" t="s">
        <v>51</v>
      </c>
      <c r="I92" s="6" t="s">
        <v>51</v>
      </c>
      <c r="J92" s="6" t="s">
        <v>476</v>
      </c>
      <c r="K92" s="6" t="s">
        <v>476</v>
      </c>
      <c r="L92" s="24">
        <v>57.150447978539603</v>
      </c>
      <c r="M92" s="24">
        <v>-2.10415585597113</v>
      </c>
      <c r="N92" s="16">
        <v>450000</v>
      </c>
      <c r="O92" s="16">
        <v>450000</v>
      </c>
      <c r="P92" s="6" t="s">
        <v>65</v>
      </c>
      <c r="Q92" s="6" t="s">
        <v>590</v>
      </c>
      <c r="R92" s="6">
        <v>2017</v>
      </c>
      <c r="S92" s="6"/>
      <c r="T92" s="6" t="s">
        <v>54</v>
      </c>
      <c r="U92" s="6"/>
      <c r="V92" s="6"/>
      <c r="W92" s="7" t="s">
        <v>591</v>
      </c>
      <c r="X92" s="8"/>
      <c r="Y92" s="8"/>
      <c r="Z92" s="8"/>
      <c r="AA92" s="8"/>
      <c r="AB92" s="8"/>
      <c r="AC92" s="8"/>
      <c r="AD92" s="8"/>
      <c r="AE92" s="8"/>
      <c r="AF92" s="8"/>
      <c r="AG92" s="8"/>
      <c r="AH92" s="8"/>
      <c r="AI92" s="8"/>
      <c r="AJ92" s="8"/>
      <c r="AK92" s="8"/>
      <c r="AL92" s="8"/>
      <c r="AM92" s="8"/>
      <c r="AN92" s="8"/>
      <c r="AO92" s="8"/>
      <c r="AP92" s="8"/>
      <c r="AQ92" s="8"/>
      <c r="AR92" s="8"/>
      <c r="AS92" s="8"/>
    </row>
    <row r="93" spans="1:45" ht="32.25" customHeight="1" x14ac:dyDescent="0.45">
      <c r="A93" s="1" t="s">
        <v>592</v>
      </c>
      <c r="B93" s="2" t="s">
        <v>593</v>
      </c>
      <c r="C93" s="2" t="s">
        <v>594</v>
      </c>
      <c r="D93" s="2" t="s">
        <v>595</v>
      </c>
      <c r="E93" s="2" t="s">
        <v>144</v>
      </c>
      <c r="F93" s="2" t="s">
        <v>582</v>
      </c>
      <c r="G93" s="2"/>
      <c r="H93" s="2" t="s">
        <v>51</v>
      </c>
      <c r="I93" s="2" t="s">
        <v>51</v>
      </c>
      <c r="J93" s="2" t="s">
        <v>476</v>
      </c>
      <c r="K93" s="2" t="s">
        <v>476</v>
      </c>
      <c r="L93" s="23">
        <v>54.609983652923802</v>
      </c>
      <c r="M93" s="23">
        <v>-1.19659717368226</v>
      </c>
      <c r="N93" s="16">
        <v>2000000</v>
      </c>
      <c r="O93" s="16">
        <v>2000000</v>
      </c>
      <c r="P93" s="2" t="s">
        <v>75</v>
      </c>
      <c r="Q93" s="2" t="s">
        <v>75</v>
      </c>
      <c r="R93" s="2">
        <v>2021</v>
      </c>
      <c r="S93" s="2"/>
      <c r="T93" s="2" t="s">
        <v>54</v>
      </c>
      <c r="U93" s="2" t="s">
        <v>596</v>
      </c>
      <c r="V93" s="2"/>
      <c r="W93" s="3" t="s">
        <v>597</v>
      </c>
      <c r="X93" s="4"/>
      <c r="Y93" s="4"/>
      <c r="Z93" s="4"/>
      <c r="AA93" s="4"/>
      <c r="AB93" s="4"/>
      <c r="AC93" s="4"/>
      <c r="AD93" s="4"/>
      <c r="AE93" s="4"/>
      <c r="AF93" s="4"/>
      <c r="AG93" s="4"/>
      <c r="AH93" s="4"/>
      <c r="AI93" s="4"/>
      <c r="AJ93" s="4"/>
      <c r="AK93" s="4"/>
      <c r="AL93" s="4"/>
      <c r="AM93" s="4"/>
      <c r="AN93" s="4"/>
      <c r="AO93" s="4"/>
      <c r="AP93" s="4"/>
      <c r="AQ93" s="4"/>
      <c r="AR93" s="4"/>
      <c r="AS93" s="4"/>
    </row>
    <row r="94" spans="1:45" ht="21.75" customHeight="1" x14ac:dyDescent="0.45">
      <c r="A94" s="5" t="s">
        <v>598</v>
      </c>
      <c r="B94" s="6" t="s">
        <v>599</v>
      </c>
      <c r="C94" s="6" t="s">
        <v>600</v>
      </c>
      <c r="D94" s="6" t="s">
        <v>601</v>
      </c>
      <c r="E94" s="6" t="s">
        <v>144</v>
      </c>
      <c r="F94" s="6" t="s">
        <v>602</v>
      </c>
      <c r="G94" s="6"/>
      <c r="H94" s="6" t="s">
        <v>51</v>
      </c>
      <c r="I94" s="6" t="s">
        <v>51</v>
      </c>
      <c r="J94" s="6" t="s">
        <v>476</v>
      </c>
      <c r="K94" s="6" t="s">
        <v>476</v>
      </c>
      <c r="L94" s="24">
        <v>53.639520622658402</v>
      </c>
      <c r="M94" s="24">
        <v>-0.27475238469311403</v>
      </c>
      <c r="N94" s="16">
        <v>1600000</v>
      </c>
      <c r="O94" s="16">
        <v>1600000</v>
      </c>
      <c r="P94" s="6" t="s">
        <v>75</v>
      </c>
      <c r="Q94" s="6" t="s">
        <v>75</v>
      </c>
      <c r="R94" s="6">
        <v>2021</v>
      </c>
      <c r="S94" s="6"/>
      <c r="T94" s="6" t="s">
        <v>54</v>
      </c>
      <c r="U94" s="6" t="s">
        <v>596</v>
      </c>
      <c r="V94" s="6"/>
      <c r="W94" s="7" t="s">
        <v>603</v>
      </c>
      <c r="X94" s="8"/>
      <c r="Y94" s="8"/>
      <c r="Z94" s="8"/>
      <c r="AA94" s="8"/>
      <c r="AB94" s="8"/>
      <c r="AC94" s="8"/>
      <c r="AD94" s="8"/>
      <c r="AE94" s="8"/>
      <c r="AF94" s="8"/>
      <c r="AG94" s="8"/>
      <c r="AH94" s="8"/>
      <c r="AI94" s="8"/>
      <c r="AJ94" s="8"/>
      <c r="AK94" s="8"/>
      <c r="AL94" s="8"/>
      <c r="AM94" s="8"/>
      <c r="AN94" s="8"/>
      <c r="AO94" s="8"/>
      <c r="AP94" s="8"/>
      <c r="AQ94" s="8"/>
      <c r="AR94" s="8"/>
      <c r="AS94" s="8"/>
    </row>
    <row r="95" spans="1:45" ht="32.25" customHeight="1" x14ac:dyDescent="0.45">
      <c r="A95" s="1" t="s">
        <v>604</v>
      </c>
      <c r="B95" s="2" t="s">
        <v>605</v>
      </c>
      <c r="C95" s="2" t="s">
        <v>606</v>
      </c>
      <c r="D95" s="2" t="s">
        <v>607</v>
      </c>
      <c r="E95" s="2" t="s">
        <v>144</v>
      </c>
      <c r="F95" s="2" t="s">
        <v>582</v>
      </c>
      <c r="G95" s="2"/>
      <c r="H95" s="2" t="s">
        <v>51</v>
      </c>
      <c r="I95" s="2" t="s">
        <v>51</v>
      </c>
      <c r="J95" s="2" t="s">
        <v>476</v>
      </c>
      <c r="K95" s="2" t="s">
        <v>476</v>
      </c>
      <c r="L95" s="23">
        <v>54.602127835700003</v>
      </c>
      <c r="M95" s="23">
        <v>-1.1912894798</v>
      </c>
      <c r="N95" s="16">
        <v>200000</v>
      </c>
      <c r="O95" s="16">
        <v>200000</v>
      </c>
      <c r="P95" s="2" t="s">
        <v>75</v>
      </c>
      <c r="Q95" s="2" t="s">
        <v>75</v>
      </c>
      <c r="R95" s="2">
        <v>2020</v>
      </c>
      <c r="S95" s="2"/>
      <c r="T95" s="2" t="s">
        <v>54</v>
      </c>
      <c r="U95" s="2" t="s">
        <v>596</v>
      </c>
      <c r="V95" s="2"/>
      <c r="W95" s="3" t="s">
        <v>608</v>
      </c>
      <c r="X95" s="4"/>
      <c r="Y95" s="4"/>
      <c r="Z95" s="4"/>
      <c r="AA95" s="4"/>
      <c r="AB95" s="4"/>
      <c r="AC95" s="4"/>
      <c r="AD95" s="4"/>
      <c r="AE95" s="4"/>
      <c r="AF95" s="4"/>
      <c r="AG95" s="4"/>
      <c r="AH95" s="4"/>
      <c r="AI95" s="4"/>
      <c r="AJ95" s="4"/>
      <c r="AK95" s="4"/>
      <c r="AL95" s="4"/>
      <c r="AM95" s="4"/>
      <c r="AN95" s="4"/>
      <c r="AO95" s="4"/>
      <c r="AP95" s="4"/>
      <c r="AQ95" s="4"/>
      <c r="AR95" s="4"/>
      <c r="AS95" s="4"/>
    </row>
    <row r="96" spans="1:45" ht="21.75" customHeight="1" x14ac:dyDescent="0.45">
      <c r="A96" s="5" t="s">
        <v>609</v>
      </c>
      <c r="B96" s="6" t="s">
        <v>610</v>
      </c>
      <c r="C96" s="6" t="s">
        <v>611</v>
      </c>
      <c r="D96" s="6" t="s">
        <v>612</v>
      </c>
      <c r="E96" s="6" t="s">
        <v>144</v>
      </c>
      <c r="F96" s="6" t="s">
        <v>613</v>
      </c>
      <c r="G96" s="6"/>
      <c r="H96" s="6" t="s">
        <v>51</v>
      </c>
      <c r="I96" s="6" t="s">
        <v>51</v>
      </c>
      <c r="J96" s="6" t="s">
        <v>476</v>
      </c>
      <c r="K96" s="6" t="s">
        <v>476</v>
      </c>
      <c r="L96" s="24">
        <v>53.2767620129924</v>
      </c>
      <c r="M96" s="24">
        <v>-2.85159076780061</v>
      </c>
      <c r="N96" s="16">
        <v>2300000</v>
      </c>
      <c r="O96" s="16">
        <v>2300000</v>
      </c>
      <c r="P96" s="6" t="s">
        <v>65</v>
      </c>
      <c r="Q96" s="6" t="s">
        <v>149</v>
      </c>
      <c r="R96" s="6">
        <v>2022</v>
      </c>
      <c r="S96" s="6"/>
      <c r="T96" s="6" t="s">
        <v>54</v>
      </c>
      <c r="U96" s="6" t="s">
        <v>614</v>
      </c>
      <c r="V96" s="6"/>
      <c r="W96" s="7" t="s">
        <v>615</v>
      </c>
      <c r="X96" s="8"/>
      <c r="Y96" s="8"/>
      <c r="Z96" s="8"/>
      <c r="AA96" s="8"/>
      <c r="AB96" s="8"/>
      <c r="AC96" s="8"/>
      <c r="AD96" s="8"/>
      <c r="AE96" s="8"/>
      <c r="AF96" s="8"/>
      <c r="AG96" s="8"/>
      <c r="AH96" s="8"/>
      <c r="AI96" s="8"/>
      <c r="AJ96" s="8"/>
      <c r="AK96" s="8"/>
      <c r="AL96" s="8"/>
      <c r="AM96" s="8"/>
      <c r="AN96" s="8"/>
      <c r="AO96" s="8"/>
      <c r="AP96" s="8"/>
      <c r="AQ96" s="8"/>
      <c r="AR96" s="8"/>
      <c r="AS96" s="8"/>
    </row>
    <row r="97" spans="1:45" ht="21.75" customHeight="1" x14ac:dyDescent="0.45">
      <c r="A97" s="1" t="s">
        <v>616</v>
      </c>
      <c r="B97" s="2" t="s">
        <v>617</v>
      </c>
      <c r="C97" s="2" t="s">
        <v>405</v>
      </c>
      <c r="D97" s="2" t="s">
        <v>618</v>
      </c>
      <c r="E97" s="2" t="s">
        <v>144</v>
      </c>
      <c r="F97" s="2" t="s">
        <v>396</v>
      </c>
      <c r="G97" s="2"/>
      <c r="H97" s="2" t="s">
        <v>51</v>
      </c>
      <c r="I97" s="2" t="s">
        <v>51</v>
      </c>
      <c r="J97" s="2" t="s">
        <v>157</v>
      </c>
      <c r="K97" s="2" t="s">
        <v>157</v>
      </c>
      <c r="L97" s="23">
        <v>53.214343</v>
      </c>
      <c r="M97" s="23">
        <v>-1.8516900000000001</v>
      </c>
      <c r="N97" s="16">
        <v>610000</v>
      </c>
      <c r="O97" s="16">
        <v>610000</v>
      </c>
      <c r="P97" s="2" t="s">
        <v>65</v>
      </c>
      <c r="Q97" s="2" t="s">
        <v>184</v>
      </c>
      <c r="R97" s="2">
        <v>2020</v>
      </c>
      <c r="S97" s="2">
        <v>2030</v>
      </c>
      <c r="T97" s="2" t="s">
        <v>54</v>
      </c>
      <c r="U97" s="2" t="s">
        <v>397</v>
      </c>
      <c r="V97" s="2"/>
      <c r="W97" s="2" t="s">
        <v>398</v>
      </c>
      <c r="X97" s="4"/>
      <c r="Y97" s="4"/>
      <c r="Z97" s="4"/>
      <c r="AA97" s="4"/>
      <c r="AB97" s="4"/>
      <c r="AC97" s="4"/>
      <c r="AD97" s="4"/>
      <c r="AE97" s="4"/>
      <c r="AF97" s="4"/>
      <c r="AG97" s="4"/>
      <c r="AH97" s="4"/>
      <c r="AI97" s="4"/>
      <c r="AJ97" s="4"/>
      <c r="AK97" s="4"/>
      <c r="AL97" s="4"/>
      <c r="AM97" s="4"/>
      <c r="AN97" s="4"/>
      <c r="AO97" s="4"/>
      <c r="AP97" s="4"/>
      <c r="AQ97" s="4"/>
      <c r="AR97" s="4"/>
      <c r="AS97" s="4"/>
    </row>
    <row r="98" spans="1:45" ht="15" customHeight="1" x14ac:dyDescent="0.45">
      <c r="A98" s="5" t="s">
        <v>619</v>
      </c>
      <c r="B98" s="6" t="s">
        <v>620</v>
      </c>
      <c r="C98" s="6" t="s">
        <v>621</v>
      </c>
      <c r="D98" s="6" t="s">
        <v>618</v>
      </c>
      <c r="E98" s="6" t="s">
        <v>144</v>
      </c>
      <c r="F98" s="6" t="s">
        <v>396</v>
      </c>
      <c r="G98" s="6"/>
      <c r="H98" s="6" t="s">
        <v>51</v>
      </c>
      <c r="I98" s="6" t="s">
        <v>51</v>
      </c>
      <c r="J98" s="6" t="s">
        <v>157</v>
      </c>
      <c r="K98" s="6" t="s">
        <v>157</v>
      </c>
      <c r="L98" s="24">
        <v>53.04</v>
      </c>
      <c r="M98" s="24">
        <v>-1.87</v>
      </c>
      <c r="N98" s="16">
        <v>114000</v>
      </c>
      <c r="O98" s="16">
        <v>114000</v>
      </c>
      <c r="P98" s="6" t="s">
        <v>65</v>
      </c>
      <c r="Q98" s="6" t="s">
        <v>184</v>
      </c>
      <c r="R98" s="6">
        <v>2020</v>
      </c>
      <c r="S98" s="6">
        <v>2030</v>
      </c>
      <c r="T98" s="6" t="s">
        <v>54</v>
      </c>
      <c r="U98" s="6" t="s">
        <v>397</v>
      </c>
      <c r="V98" s="6"/>
      <c r="W98" s="6" t="s">
        <v>398</v>
      </c>
      <c r="X98" s="8"/>
      <c r="Y98" s="8"/>
      <c r="Z98" s="8"/>
      <c r="AA98" s="8"/>
      <c r="AB98" s="8"/>
      <c r="AC98" s="8"/>
      <c r="AD98" s="8"/>
      <c r="AE98" s="8"/>
      <c r="AF98" s="8"/>
      <c r="AG98" s="8"/>
      <c r="AH98" s="8"/>
      <c r="AI98" s="8"/>
      <c r="AJ98" s="8"/>
      <c r="AK98" s="8"/>
      <c r="AL98" s="8"/>
      <c r="AM98" s="8"/>
      <c r="AN98" s="8"/>
      <c r="AO98" s="8"/>
      <c r="AP98" s="8"/>
      <c r="AQ98" s="8"/>
      <c r="AR98" s="8"/>
      <c r="AS98" s="8"/>
    </row>
    <row r="99" spans="1:45" ht="42.75" customHeight="1" x14ac:dyDescent="0.45">
      <c r="A99" s="1" t="s">
        <v>622</v>
      </c>
      <c r="B99" s="2" t="s">
        <v>623</v>
      </c>
      <c r="C99" s="2" t="s">
        <v>111</v>
      </c>
      <c r="D99" s="2" t="s">
        <v>624</v>
      </c>
      <c r="E99" s="2" t="s">
        <v>144</v>
      </c>
      <c r="F99" s="2" t="s">
        <v>625</v>
      </c>
      <c r="G99" s="2"/>
      <c r="H99" s="2" t="s">
        <v>84</v>
      </c>
      <c r="I99" s="2" t="s">
        <v>84</v>
      </c>
      <c r="J99" s="2" t="s">
        <v>468</v>
      </c>
      <c r="K99" s="2" t="s">
        <v>468</v>
      </c>
      <c r="L99" s="23">
        <v>51.683047473116901</v>
      </c>
      <c r="M99" s="23">
        <v>-4.9948277206711102</v>
      </c>
      <c r="N99" s="16">
        <v>5000000</v>
      </c>
      <c r="O99" s="16">
        <v>5000000</v>
      </c>
      <c r="P99" s="2" t="s">
        <v>53</v>
      </c>
      <c r="Q99" s="2" t="s">
        <v>53</v>
      </c>
      <c r="R99" s="2">
        <v>2023</v>
      </c>
      <c r="S99" s="2"/>
      <c r="T99" s="2" t="s">
        <v>54</v>
      </c>
      <c r="U99" s="2"/>
      <c r="V99" s="2" t="s">
        <v>168</v>
      </c>
      <c r="W99" s="3" t="s">
        <v>626</v>
      </c>
      <c r="X99" s="4"/>
      <c r="Y99" s="4"/>
      <c r="Z99" s="4"/>
      <c r="AA99" s="4"/>
      <c r="AB99" s="4"/>
      <c r="AC99" s="4"/>
      <c r="AD99" s="4"/>
      <c r="AE99" s="4"/>
      <c r="AF99" s="4"/>
      <c r="AG99" s="4"/>
      <c r="AH99" s="4"/>
      <c r="AI99" s="4"/>
      <c r="AJ99" s="4"/>
      <c r="AK99" s="4"/>
      <c r="AL99" s="4"/>
      <c r="AM99" s="4"/>
      <c r="AN99" s="4"/>
      <c r="AO99" s="4"/>
      <c r="AP99" s="4"/>
      <c r="AQ99" s="4"/>
      <c r="AR99" s="4"/>
      <c r="AS99" s="4"/>
    </row>
    <row r="100" spans="1:45" ht="42.75" customHeight="1" x14ac:dyDescent="0.45">
      <c r="A100" s="5" t="s">
        <v>627</v>
      </c>
      <c r="B100" s="6" t="s">
        <v>628</v>
      </c>
      <c r="C100" s="6" t="s">
        <v>111</v>
      </c>
      <c r="D100" s="6" t="s">
        <v>629</v>
      </c>
      <c r="E100" s="6" t="s">
        <v>144</v>
      </c>
      <c r="F100" s="6" t="s">
        <v>630</v>
      </c>
      <c r="G100" s="6"/>
      <c r="H100" s="6" t="s">
        <v>84</v>
      </c>
      <c r="I100" s="6" t="s">
        <v>84</v>
      </c>
      <c r="J100" s="6" t="s">
        <v>468</v>
      </c>
      <c r="K100" s="6" t="s">
        <v>468</v>
      </c>
      <c r="L100" s="24">
        <v>53.587200000000003</v>
      </c>
      <c r="M100" s="24">
        <v>-0.17319999999999999</v>
      </c>
      <c r="N100" s="16">
        <v>2000000</v>
      </c>
      <c r="O100" s="16">
        <v>2000000</v>
      </c>
      <c r="P100" s="6" t="s">
        <v>65</v>
      </c>
      <c r="Q100" s="6" t="s">
        <v>149</v>
      </c>
      <c r="R100" s="6">
        <v>2023</v>
      </c>
      <c r="S100" s="6"/>
      <c r="T100" s="6" t="s">
        <v>54</v>
      </c>
      <c r="U100" s="6"/>
      <c r="V100" s="6" t="s">
        <v>168</v>
      </c>
      <c r="W100" s="7" t="s">
        <v>626</v>
      </c>
      <c r="X100" s="8"/>
      <c r="Y100" s="8"/>
      <c r="Z100" s="8"/>
      <c r="AA100" s="8"/>
      <c r="AB100" s="8"/>
      <c r="AC100" s="8"/>
      <c r="AD100" s="8"/>
      <c r="AE100" s="8"/>
      <c r="AF100" s="8"/>
      <c r="AG100" s="8"/>
      <c r="AH100" s="8"/>
      <c r="AI100" s="8"/>
      <c r="AJ100" s="8"/>
      <c r="AK100" s="8"/>
      <c r="AL100" s="8"/>
      <c r="AM100" s="8"/>
      <c r="AN100" s="8"/>
      <c r="AO100" s="8"/>
      <c r="AP100" s="8"/>
      <c r="AQ100" s="8"/>
      <c r="AR100" s="8"/>
      <c r="AS100" s="8"/>
    </row>
    <row r="101" spans="1:45" ht="32.25" customHeight="1" x14ac:dyDescent="0.45">
      <c r="A101" s="1" t="s">
        <v>631</v>
      </c>
      <c r="B101" s="2" t="s">
        <v>632</v>
      </c>
      <c r="C101" s="2" t="s">
        <v>111</v>
      </c>
      <c r="D101" s="2" t="s">
        <v>633</v>
      </c>
      <c r="E101" s="2" t="s">
        <v>144</v>
      </c>
      <c r="F101" s="2" t="s">
        <v>634</v>
      </c>
      <c r="G101" s="2"/>
      <c r="H101" s="2" t="s">
        <v>84</v>
      </c>
      <c r="I101" s="2" t="s">
        <v>84</v>
      </c>
      <c r="J101" s="2" t="s">
        <v>468</v>
      </c>
      <c r="K101" s="2" t="s">
        <v>468</v>
      </c>
      <c r="L101" s="23">
        <v>53.075335840782103</v>
      </c>
      <c r="M101" s="23">
        <v>-0.85673291477128899</v>
      </c>
      <c r="N101" s="16">
        <v>5000000</v>
      </c>
      <c r="O101" s="16">
        <v>5000000</v>
      </c>
      <c r="P101" s="2" t="s">
        <v>65</v>
      </c>
      <c r="Q101" s="2" t="s">
        <v>149</v>
      </c>
      <c r="R101" s="2">
        <v>2023</v>
      </c>
      <c r="S101" s="2"/>
      <c r="T101" s="2" t="s">
        <v>54</v>
      </c>
      <c r="U101" s="2" t="s">
        <v>635</v>
      </c>
      <c r="V101" s="2" t="s">
        <v>168</v>
      </c>
      <c r="W101" s="3" t="s">
        <v>626</v>
      </c>
      <c r="X101" s="4"/>
      <c r="Y101" s="4"/>
      <c r="Z101" s="4"/>
      <c r="AA101" s="4"/>
      <c r="AB101" s="4"/>
      <c r="AC101" s="4"/>
      <c r="AD101" s="4"/>
      <c r="AE101" s="4"/>
      <c r="AF101" s="4"/>
      <c r="AG101" s="4"/>
      <c r="AH101" s="4"/>
      <c r="AI101" s="4"/>
      <c r="AJ101" s="4"/>
      <c r="AK101" s="4"/>
      <c r="AL101" s="4"/>
      <c r="AM101" s="4"/>
      <c r="AN101" s="4"/>
      <c r="AO101" s="4"/>
      <c r="AP101" s="4"/>
      <c r="AQ101" s="4"/>
      <c r="AR101" s="4"/>
      <c r="AS101" s="4"/>
    </row>
    <row r="102" spans="1:45" ht="21.75" customHeight="1" x14ac:dyDescent="0.45">
      <c r="A102" s="5" t="s">
        <v>636</v>
      </c>
      <c r="B102" s="6" t="s">
        <v>637</v>
      </c>
      <c r="C102" s="6" t="s">
        <v>638</v>
      </c>
      <c r="D102" s="6" t="s">
        <v>639</v>
      </c>
      <c r="E102" s="6" t="s">
        <v>144</v>
      </c>
      <c r="F102" s="6" t="s">
        <v>640</v>
      </c>
      <c r="G102" s="6"/>
      <c r="H102" s="6" t="s">
        <v>84</v>
      </c>
      <c r="I102" s="6" t="s">
        <v>84</v>
      </c>
      <c r="J102" s="6" t="s">
        <v>468</v>
      </c>
      <c r="K102" s="6" t="s">
        <v>468</v>
      </c>
      <c r="L102" s="24">
        <v>53.595166399962402</v>
      </c>
      <c r="M102" s="24">
        <v>-0.73957538428705805</v>
      </c>
      <c r="N102" s="16">
        <v>1500000</v>
      </c>
      <c r="O102" s="16">
        <v>1500000</v>
      </c>
      <c r="P102" s="6" t="s">
        <v>53</v>
      </c>
      <c r="Q102" s="6" t="s">
        <v>53</v>
      </c>
      <c r="R102" s="6">
        <v>2021</v>
      </c>
      <c r="S102" s="6"/>
      <c r="T102" s="6" t="s">
        <v>54</v>
      </c>
      <c r="U102" s="6" t="s">
        <v>596</v>
      </c>
      <c r="V102" s="6"/>
      <c r="W102" s="7" t="s">
        <v>641</v>
      </c>
      <c r="X102" s="8"/>
      <c r="Y102" s="8"/>
      <c r="Z102" s="8"/>
      <c r="AA102" s="8"/>
      <c r="AB102" s="8"/>
      <c r="AC102" s="8"/>
      <c r="AD102" s="8"/>
      <c r="AE102" s="8"/>
      <c r="AF102" s="8"/>
      <c r="AG102" s="8"/>
      <c r="AH102" s="8"/>
      <c r="AI102" s="8"/>
      <c r="AJ102" s="8"/>
      <c r="AK102" s="8"/>
      <c r="AL102" s="8"/>
      <c r="AM102" s="8"/>
      <c r="AN102" s="8"/>
      <c r="AO102" s="8"/>
      <c r="AP102" s="8"/>
      <c r="AQ102" s="8"/>
      <c r="AR102" s="8"/>
      <c r="AS102" s="8"/>
    </row>
    <row r="103" spans="1:45" ht="21.75" customHeight="1" x14ac:dyDescent="0.45">
      <c r="A103" s="1" t="s">
        <v>642</v>
      </c>
      <c r="B103" s="2" t="s">
        <v>643</v>
      </c>
      <c r="C103" s="2" t="s">
        <v>644</v>
      </c>
      <c r="D103" s="2" t="s">
        <v>645</v>
      </c>
      <c r="E103" s="2" t="s">
        <v>144</v>
      </c>
      <c r="F103" s="2" t="s">
        <v>646</v>
      </c>
      <c r="G103" s="2"/>
      <c r="H103" s="2" t="s">
        <v>84</v>
      </c>
      <c r="I103" s="2" t="s">
        <v>84</v>
      </c>
      <c r="J103" s="2" t="s">
        <v>468</v>
      </c>
      <c r="K103" s="2" t="s">
        <v>468</v>
      </c>
      <c r="L103" s="23">
        <v>50.899635725891301</v>
      </c>
      <c r="M103" s="23">
        <v>-1.4380885983053799</v>
      </c>
      <c r="N103" s="16">
        <v>1400000</v>
      </c>
      <c r="O103" s="16">
        <v>1400000</v>
      </c>
      <c r="P103" s="2" t="s">
        <v>53</v>
      </c>
      <c r="Q103" s="2" t="s">
        <v>53</v>
      </c>
      <c r="R103" s="2"/>
      <c r="S103" s="2"/>
      <c r="T103" s="2" t="s">
        <v>54</v>
      </c>
      <c r="U103" s="2"/>
      <c r="V103" s="2"/>
      <c r="W103" s="3" t="s">
        <v>647</v>
      </c>
      <c r="X103" s="4"/>
      <c r="Y103" s="4"/>
      <c r="Z103" s="4"/>
      <c r="AA103" s="4"/>
      <c r="AB103" s="4"/>
      <c r="AC103" s="4"/>
      <c r="AD103" s="4"/>
      <c r="AE103" s="4"/>
      <c r="AF103" s="4"/>
      <c r="AG103" s="4"/>
      <c r="AH103" s="4"/>
      <c r="AI103" s="4"/>
      <c r="AJ103" s="4"/>
      <c r="AK103" s="4"/>
      <c r="AL103" s="4"/>
      <c r="AM103" s="4"/>
      <c r="AN103" s="4"/>
      <c r="AO103" s="4"/>
      <c r="AP103" s="4"/>
      <c r="AQ103" s="4"/>
      <c r="AR103" s="4"/>
      <c r="AS103" s="4"/>
    </row>
    <row r="104" spans="1:45" ht="21.75" customHeight="1" x14ac:dyDescent="0.45">
      <c r="A104" s="5" t="s">
        <v>648</v>
      </c>
      <c r="B104" s="6" t="s">
        <v>649</v>
      </c>
      <c r="C104" s="6" t="s">
        <v>650</v>
      </c>
      <c r="D104" s="6" t="s">
        <v>651</v>
      </c>
      <c r="E104" s="6" t="s">
        <v>144</v>
      </c>
      <c r="F104" s="6" t="s">
        <v>652</v>
      </c>
      <c r="G104" s="6"/>
      <c r="H104" s="6" t="s">
        <v>84</v>
      </c>
      <c r="I104" s="6" t="s">
        <v>84</v>
      </c>
      <c r="J104" s="6" t="s">
        <v>468</v>
      </c>
      <c r="K104" s="6" t="s">
        <v>468</v>
      </c>
      <c r="L104" s="24">
        <v>54.609983652923802</v>
      </c>
      <c r="M104" s="24">
        <v>-1.19659717368226</v>
      </c>
      <c r="N104" s="16">
        <v>2000000</v>
      </c>
      <c r="O104" s="16">
        <v>2000000</v>
      </c>
      <c r="P104" s="6" t="s">
        <v>53</v>
      </c>
      <c r="Q104" s="6" t="s">
        <v>53</v>
      </c>
      <c r="R104" s="6">
        <v>2022</v>
      </c>
      <c r="S104" s="6">
        <v>2028</v>
      </c>
      <c r="T104" s="6" t="s">
        <v>86</v>
      </c>
      <c r="U104" s="6" t="s">
        <v>653</v>
      </c>
      <c r="V104" s="6"/>
      <c r="W104" s="7" t="s">
        <v>654</v>
      </c>
      <c r="X104" s="8"/>
      <c r="Y104" s="8"/>
      <c r="Z104" s="8"/>
      <c r="AA104" s="8"/>
      <c r="AB104" s="8"/>
      <c r="AC104" s="8"/>
      <c r="AD104" s="8"/>
      <c r="AE104" s="8"/>
      <c r="AF104" s="8"/>
      <c r="AG104" s="8"/>
      <c r="AH104" s="8"/>
      <c r="AI104" s="8"/>
      <c r="AJ104" s="8"/>
      <c r="AK104" s="8"/>
      <c r="AL104" s="8"/>
      <c r="AM104" s="8"/>
      <c r="AN104" s="8"/>
      <c r="AO104" s="8"/>
      <c r="AP104" s="8"/>
      <c r="AQ104" s="8"/>
      <c r="AR104" s="8"/>
      <c r="AS104" s="8"/>
    </row>
    <row r="105" spans="1:45" ht="21.75" customHeight="1" x14ac:dyDescent="0.45">
      <c r="A105" s="1" t="s">
        <v>655</v>
      </c>
      <c r="B105" s="2" t="s">
        <v>656</v>
      </c>
      <c r="C105" s="2" t="s">
        <v>657</v>
      </c>
      <c r="D105" s="2" t="s">
        <v>658</v>
      </c>
      <c r="E105" s="2" t="s">
        <v>144</v>
      </c>
      <c r="F105" s="2" t="s">
        <v>659</v>
      </c>
      <c r="G105" s="2"/>
      <c r="H105" s="2" t="s">
        <v>84</v>
      </c>
      <c r="I105" s="2" t="s">
        <v>84</v>
      </c>
      <c r="J105" s="2" t="s">
        <v>468</v>
      </c>
      <c r="K105" s="2" t="s">
        <v>468</v>
      </c>
      <c r="L105" s="23">
        <v>57.477854000000001</v>
      </c>
      <c r="M105" s="23">
        <v>-1.7890459999999999</v>
      </c>
      <c r="N105" s="16">
        <v>1500000</v>
      </c>
      <c r="O105" s="16">
        <v>1500000</v>
      </c>
      <c r="P105" s="2" t="s">
        <v>590</v>
      </c>
      <c r="Q105" s="2" t="s">
        <v>590</v>
      </c>
      <c r="R105" s="2">
        <v>2021</v>
      </c>
      <c r="S105" s="2"/>
      <c r="T105" s="2" t="s">
        <v>54</v>
      </c>
      <c r="U105" s="2" t="s">
        <v>660</v>
      </c>
      <c r="V105" s="2"/>
      <c r="W105" s="3" t="s">
        <v>661</v>
      </c>
      <c r="X105" s="4"/>
      <c r="Y105" s="4"/>
      <c r="Z105" s="4"/>
      <c r="AA105" s="4"/>
      <c r="AB105" s="4"/>
      <c r="AC105" s="4"/>
      <c r="AD105" s="4"/>
      <c r="AE105" s="4"/>
      <c r="AF105" s="4"/>
      <c r="AG105" s="4"/>
      <c r="AH105" s="4"/>
      <c r="AI105" s="4"/>
      <c r="AJ105" s="4"/>
      <c r="AK105" s="4"/>
      <c r="AL105" s="4"/>
      <c r="AM105" s="4"/>
      <c r="AN105" s="4"/>
      <c r="AO105" s="4"/>
      <c r="AP105" s="4"/>
      <c r="AQ105" s="4"/>
      <c r="AR105" s="4"/>
      <c r="AS105" s="4"/>
    </row>
    <row r="106" spans="1:45" ht="42.75" customHeight="1" x14ac:dyDescent="0.45">
      <c r="A106" s="5" t="s">
        <v>662</v>
      </c>
      <c r="B106" s="6" t="s">
        <v>663</v>
      </c>
      <c r="C106" s="6" t="s">
        <v>664</v>
      </c>
      <c r="D106" s="6" t="s">
        <v>665</v>
      </c>
      <c r="E106" s="6" t="s">
        <v>144</v>
      </c>
      <c r="F106" s="6" t="s">
        <v>666</v>
      </c>
      <c r="G106" s="6"/>
      <c r="H106" s="6" t="s">
        <v>84</v>
      </c>
      <c r="I106" s="6" t="s">
        <v>84</v>
      </c>
      <c r="J106" s="6" t="s">
        <v>468</v>
      </c>
      <c r="K106" s="6" t="s">
        <v>468</v>
      </c>
      <c r="L106" s="24">
        <v>53.637846179</v>
      </c>
      <c r="M106" s="24">
        <v>-0.23692594616000001</v>
      </c>
      <c r="N106" s="16">
        <v>2430000</v>
      </c>
      <c r="O106" s="16">
        <v>2430000</v>
      </c>
      <c r="P106" s="6" t="s">
        <v>75</v>
      </c>
      <c r="Q106" s="6" t="s">
        <v>75</v>
      </c>
      <c r="R106" s="6">
        <v>2021</v>
      </c>
      <c r="S106" s="6"/>
      <c r="T106" s="6" t="s">
        <v>54</v>
      </c>
      <c r="U106" s="6" t="s">
        <v>667</v>
      </c>
      <c r="V106" s="6"/>
      <c r="W106" s="7" t="s">
        <v>668</v>
      </c>
      <c r="X106" s="8"/>
      <c r="Y106" s="8"/>
      <c r="Z106" s="8"/>
      <c r="AA106" s="8"/>
      <c r="AB106" s="8"/>
      <c r="AC106" s="8"/>
      <c r="AD106" s="8"/>
      <c r="AE106" s="8"/>
      <c r="AF106" s="8"/>
      <c r="AG106" s="8"/>
      <c r="AH106" s="8"/>
      <c r="AI106" s="8"/>
      <c r="AJ106" s="8"/>
      <c r="AK106" s="8"/>
      <c r="AL106" s="8"/>
      <c r="AM106" s="8"/>
      <c r="AN106" s="8"/>
      <c r="AO106" s="8"/>
      <c r="AP106" s="8"/>
      <c r="AQ106" s="8"/>
      <c r="AR106" s="8"/>
      <c r="AS106" s="8"/>
    </row>
    <row r="107" spans="1:45" ht="42.75" customHeight="1" x14ac:dyDescent="0.45">
      <c r="A107" s="1" t="s">
        <v>669</v>
      </c>
      <c r="B107" s="2" t="s">
        <v>670</v>
      </c>
      <c r="C107" s="2" t="s">
        <v>671</v>
      </c>
      <c r="D107" s="2" t="s">
        <v>672</v>
      </c>
      <c r="E107" s="2" t="s">
        <v>144</v>
      </c>
      <c r="F107" s="2" t="s">
        <v>144</v>
      </c>
      <c r="G107" s="2"/>
      <c r="H107" s="2" t="s">
        <v>84</v>
      </c>
      <c r="I107" s="2" t="s">
        <v>84</v>
      </c>
      <c r="J107" s="2" t="s">
        <v>468</v>
      </c>
      <c r="K107" s="2" t="s">
        <v>468</v>
      </c>
      <c r="L107" s="23">
        <v>53.363037020999997</v>
      </c>
      <c r="M107" s="23">
        <v>-0.79877862804999999</v>
      </c>
      <c r="N107" s="16">
        <v>1790000</v>
      </c>
      <c r="O107" s="16">
        <v>1790000</v>
      </c>
      <c r="P107" s="2" t="s">
        <v>75</v>
      </c>
      <c r="Q107" s="2" t="s">
        <v>75</v>
      </c>
      <c r="R107" s="2"/>
      <c r="S107" s="2"/>
      <c r="T107" s="2" t="s">
        <v>54</v>
      </c>
      <c r="U107" s="2" t="s">
        <v>667</v>
      </c>
      <c r="V107" s="2"/>
      <c r="W107" s="3" t="s">
        <v>673</v>
      </c>
      <c r="X107" s="4"/>
      <c r="Y107" s="4"/>
      <c r="Z107" s="4"/>
      <c r="AA107" s="4"/>
      <c r="AB107" s="4"/>
      <c r="AC107" s="4"/>
      <c r="AD107" s="4"/>
      <c r="AE107" s="4"/>
      <c r="AF107" s="4"/>
      <c r="AG107" s="4"/>
      <c r="AH107" s="4"/>
      <c r="AI107" s="4"/>
      <c r="AJ107" s="4"/>
      <c r="AK107" s="4"/>
      <c r="AL107" s="4"/>
      <c r="AM107" s="4"/>
      <c r="AN107" s="4"/>
      <c r="AO107" s="4"/>
      <c r="AP107" s="4"/>
      <c r="AQ107" s="4"/>
      <c r="AR107" s="4"/>
      <c r="AS107" s="4"/>
    </row>
    <row r="108" spans="1:45" ht="74.25" customHeight="1" x14ac:dyDescent="0.45">
      <c r="A108" s="5" t="s">
        <v>674</v>
      </c>
      <c r="B108" s="6" t="s">
        <v>675</v>
      </c>
      <c r="C108" s="6" t="s">
        <v>676</v>
      </c>
      <c r="D108" s="6" t="s">
        <v>677</v>
      </c>
      <c r="E108" s="6" t="s">
        <v>144</v>
      </c>
      <c r="F108" s="6" t="s">
        <v>144</v>
      </c>
      <c r="G108" s="6"/>
      <c r="H108" s="6" t="s">
        <v>84</v>
      </c>
      <c r="I108" s="6" t="s">
        <v>84</v>
      </c>
      <c r="J108" s="6" t="s">
        <v>468</v>
      </c>
      <c r="K108" s="6" t="s">
        <v>468</v>
      </c>
      <c r="L108" s="24">
        <v>54.575124348929798</v>
      </c>
      <c r="M108" s="24">
        <v>-1.12701073251596</v>
      </c>
      <c r="N108" s="16">
        <v>800000</v>
      </c>
      <c r="O108" s="16">
        <v>800000</v>
      </c>
      <c r="P108" s="6" t="s">
        <v>53</v>
      </c>
      <c r="Q108" s="6" t="s">
        <v>53</v>
      </c>
      <c r="R108" s="6"/>
      <c r="S108" s="6"/>
      <c r="T108" s="6" t="s">
        <v>54</v>
      </c>
      <c r="U108" s="6" t="s">
        <v>596</v>
      </c>
      <c r="V108" s="6"/>
      <c r="W108" s="6"/>
      <c r="X108" s="8"/>
      <c r="Y108" s="8"/>
      <c r="Z108" s="8"/>
      <c r="AA108" s="8"/>
      <c r="AB108" s="8"/>
      <c r="AC108" s="8"/>
      <c r="AD108" s="8"/>
      <c r="AE108" s="8"/>
      <c r="AF108" s="8"/>
      <c r="AG108" s="8"/>
      <c r="AH108" s="8"/>
      <c r="AI108" s="8"/>
      <c r="AJ108" s="8"/>
      <c r="AK108" s="8"/>
      <c r="AL108" s="8"/>
      <c r="AM108" s="8"/>
      <c r="AN108" s="8"/>
      <c r="AO108" s="8"/>
      <c r="AP108" s="8"/>
      <c r="AQ108" s="8"/>
      <c r="AR108" s="8"/>
      <c r="AS108" s="8"/>
    </row>
    <row r="109" spans="1:45" ht="21.75" customHeight="1" x14ac:dyDescent="0.45">
      <c r="A109" s="1" t="s">
        <v>678</v>
      </c>
      <c r="B109" s="2" t="s">
        <v>679</v>
      </c>
      <c r="C109" s="2" t="s">
        <v>600</v>
      </c>
      <c r="D109" s="2" t="s">
        <v>680</v>
      </c>
      <c r="E109" s="2" t="s">
        <v>144</v>
      </c>
      <c r="F109" s="2" t="s">
        <v>144</v>
      </c>
      <c r="G109" s="2"/>
      <c r="H109" s="2" t="s">
        <v>84</v>
      </c>
      <c r="I109" s="2" t="s">
        <v>84</v>
      </c>
      <c r="J109" s="2" t="s">
        <v>468</v>
      </c>
      <c r="K109" s="2" t="s">
        <v>468</v>
      </c>
      <c r="L109" s="23">
        <v>53.232320999999999</v>
      </c>
      <c r="M109" s="23">
        <v>-3.0815450000000002</v>
      </c>
      <c r="N109" s="16">
        <v>2400000</v>
      </c>
      <c r="O109" s="16">
        <v>2400000</v>
      </c>
      <c r="P109" s="2" t="s">
        <v>65</v>
      </c>
      <c r="Q109" s="2" t="s">
        <v>184</v>
      </c>
      <c r="R109" s="2">
        <v>2024</v>
      </c>
      <c r="S109" s="2">
        <v>2030</v>
      </c>
      <c r="T109" s="2" t="s">
        <v>54</v>
      </c>
      <c r="U109" s="2"/>
      <c r="V109" s="2"/>
      <c r="W109" s="2"/>
      <c r="X109" s="4"/>
      <c r="Y109" s="4"/>
      <c r="Z109" s="4"/>
      <c r="AA109" s="4"/>
      <c r="AB109" s="4"/>
      <c r="AC109" s="4"/>
      <c r="AD109" s="4"/>
      <c r="AE109" s="4"/>
      <c r="AF109" s="4"/>
      <c r="AG109" s="4"/>
      <c r="AH109" s="4"/>
      <c r="AI109" s="4"/>
      <c r="AJ109" s="4"/>
      <c r="AK109" s="4"/>
      <c r="AL109" s="4"/>
      <c r="AM109" s="4"/>
      <c r="AN109" s="4"/>
      <c r="AO109" s="4"/>
      <c r="AP109" s="4"/>
      <c r="AQ109" s="4"/>
      <c r="AR109" s="4"/>
      <c r="AS109" s="4"/>
    </row>
    <row r="110" spans="1:45" ht="32.25" customHeight="1" x14ac:dyDescent="0.45">
      <c r="A110" s="5" t="s">
        <v>681</v>
      </c>
      <c r="B110" s="6" t="s">
        <v>682</v>
      </c>
      <c r="C110" s="6" t="s">
        <v>600</v>
      </c>
      <c r="D110" s="6" t="s">
        <v>680</v>
      </c>
      <c r="E110" s="6" t="s">
        <v>144</v>
      </c>
      <c r="F110" s="6" t="s">
        <v>144</v>
      </c>
      <c r="G110" s="6"/>
      <c r="H110" s="6" t="s">
        <v>84</v>
      </c>
      <c r="I110" s="6" t="s">
        <v>84</v>
      </c>
      <c r="J110" s="6" t="s">
        <v>468</v>
      </c>
      <c r="K110" s="6" t="s">
        <v>468</v>
      </c>
      <c r="L110" s="24">
        <v>51.443151</v>
      </c>
      <c r="M110" s="24">
        <v>0.70821400000000001</v>
      </c>
      <c r="N110" s="16">
        <v>2000000</v>
      </c>
      <c r="O110" s="16">
        <v>2000000</v>
      </c>
      <c r="P110" s="6" t="s">
        <v>53</v>
      </c>
      <c r="Q110" s="6" t="s">
        <v>53</v>
      </c>
      <c r="R110" s="6">
        <v>2024</v>
      </c>
      <c r="S110" s="6">
        <v>2030</v>
      </c>
      <c r="T110" s="6" t="s">
        <v>54</v>
      </c>
      <c r="U110" s="6"/>
      <c r="V110" s="6"/>
      <c r="W110" s="6"/>
      <c r="X110" s="8"/>
      <c r="Y110" s="8"/>
      <c r="Z110" s="8"/>
      <c r="AA110" s="8"/>
      <c r="AB110" s="8"/>
      <c r="AC110" s="8"/>
      <c r="AD110" s="8"/>
      <c r="AE110" s="8"/>
      <c r="AF110" s="8"/>
      <c r="AG110" s="8"/>
      <c r="AH110" s="8"/>
      <c r="AI110" s="8"/>
      <c r="AJ110" s="8"/>
      <c r="AK110" s="8"/>
      <c r="AL110" s="8"/>
      <c r="AM110" s="8"/>
      <c r="AN110" s="8"/>
      <c r="AO110" s="8"/>
      <c r="AP110" s="8"/>
      <c r="AQ110" s="8"/>
      <c r="AR110" s="8"/>
      <c r="AS110" s="8"/>
    </row>
    <row r="111" spans="1:45" ht="63.75" customHeight="1" x14ac:dyDescent="0.45">
      <c r="A111" s="5" t="s">
        <v>808</v>
      </c>
      <c r="B111" s="6" t="s">
        <v>809</v>
      </c>
      <c r="C111" s="6" t="s">
        <v>810</v>
      </c>
      <c r="D111" s="6" t="s">
        <v>811</v>
      </c>
      <c r="E111" s="6" t="s">
        <v>144</v>
      </c>
      <c r="F111" s="6" t="s">
        <v>144</v>
      </c>
      <c r="G111" s="6"/>
      <c r="H111" s="6" t="s">
        <v>51</v>
      </c>
      <c r="I111" s="6" t="s">
        <v>51</v>
      </c>
      <c r="J111" s="6" t="s">
        <v>688</v>
      </c>
      <c r="K111" s="6" t="s">
        <v>812</v>
      </c>
      <c r="L111" s="24">
        <v>51.68289</v>
      </c>
      <c r="M111" s="24">
        <v>-4.9948399999999999</v>
      </c>
      <c r="N111" s="16">
        <v>15000000</v>
      </c>
      <c r="O111" s="16">
        <v>15000000</v>
      </c>
      <c r="P111" s="6" t="s">
        <v>53</v>
      </c>
      <c r="Q111" s="6" t="s">
        <v>53</v>
      </c>
      <c r="R111" s="6">
        <v>2019</v>
      </c>
      <c r="S111" s="6"/>
      <c r="T111" s="6" t="s">
        <v>54</v>
      </c>
      <c r="U111" s="6"/>
      <c r="V111" s="6"/>
      <c r="W111" s="7" t="s">
        <v>813</v>
      </c>
      <c r="X111" s="8"/>
      <c r="Y111" s="8"/>
      <c r="Z111" s="8"/>
      <c r="AA111" s="8"/>
      <c r="AB111" s="8"/>
      <c r="AC111" s="8"/>
      <c r="AD111" s="8"/>
      <c r="AE111" s="8"/>
      <c r="AF111" s="8"/>
      <c r="AG111" s="8"/>
      <c r="AH111" s="8"/>
      <c r="AI111" s="8"/>
      <c r="AJ111" s="8"/>
      <c r="AK111" s="8"/>
      <c r="AL111" s="8"/>
      <c r="AM111" s="8"/>
      <c r="AN111" s="8"/>
      <c r="AO111" s="8"/>
      <c r="AP111" s="8"/>
      <c r="AQ111" s="8"/>
      <c r="AR111" s="8"/>
      <c r="AS111" s="8"/>
    </row>
    <row r="112" spans="1:45" ht="32.25" customHeight="1" x14ac:dyDescent="0.45">
      <c r="A112" s="1" t="s">
        <v>814</v>
      </c>
      <c r="B112" s="2" t="s">
        <v>815</v>
      </c>
      <c r="C112" s="2" t="s">
        <v>816</v>
      </c>
      <c r="D112" s="2" t="s">
        <v>817</v>
      </c>
      <c r="E112" s="2" t="s">
        <v>144</v>
      </c>
      <c r="F112" s="2" t="s">
        <v>818</v>
      </c>
      <c r="G112" s="2"/>
      <c r="H112" s="2" t="s">
        <v>51</v>
      </c>
      <c r="I112" s="2" t="s">
        <v>51</v>
      </c>
      <c r="J112" s="2" t="s">
        <v>688</v>
      </c>
      <c r="K112" s="2" t="s">
        <v>819</v>
      </c>
      <c r="L112" s="23">
        <v>53.272200766300003</v>
      </c>
      <c r="M112" s="23">
        <v>-2.8460900484999998</v>
      </c>
      <c r="N112" s="16">
        <v>860000</v>
      </c>
      <c r="O112" s="16">
        <v>860000</v>
      </c>
      <c r="P112" s="2" t="s">
        <v>65</v>
      </c>
      <c r="Q112" s="2" t="s">
        <v>184</v>
      </c>
      <c r="R112" s="2">
        <v>2023</v>
      </c>
      <c r="S112" s="2"/>
      <c r="T112" s="2" t="s">
        <v>54</v>
      </c>
      <c r="U112" s="2"/>
      <c r="V112" s="2"/>
      <c r="W112" s="3" t="s">
        <v>820</v>
      </c>
      <c r="X112" s="4"/>
      <c r="Y112" s="4"/>
      <c r="Z112" s="4"/>
      <c r="AA112" s="4"/>
      <c r="AB112" s="4"/>
      <c r="AC112" s="4"/>
      <c r="AD112" s="4"/>
      <c r="AE112" s="4"/>
      <c r="AF112" s="4"/>
      <c r="AG112" s="4"/>
      <c r="AH112" s="4"/>
      <c r="AI112" s="4"/>
      <c r="AJ112" s="4"/>
      <c r="AK112" s="4"/>
      <c r="AL112" s="4"/>
      <c r="AM112" s="4"/>
      <c r="AN112" s="4"/>
      <c r="AO112" s="4"/>
      <c r="AP112" s="4"/>
      <c r="AQ112" s="4"/>
      <c r="AR112" s="4"/>
      <c r="AS112" s="4"/>
    </row>
    <row r="113" spans="1:45" ht="21.75" customHeight="1" x14ac:dyDescent="0.45">
      <c r="A113" s="5" t="s">
        <v>821</v>
      </c>
      <c r="B113" s="6" t="s">
        <v>822</v>
      </c>
      <c r="C113" s="6" t="s">
        <v>823</v>
      </c>
      <c r="D113" s="6" t="s">
        <v>824</v>
      </c>
      <c r="E113" s="6" t="s">
        <v>144</v>
      </c>
      <c r="F113" s="6" t="s">
        <v>825</v>
      </c>
      <c r="G113" s="6"/>
      <c r="H113" s="6" t="s">
        <v>51</v>
      </c>
      <c r="I113" s="6" t="s">
        <v>51</v>
      </c>
      <c r="J113" s="6" t="s">
        <v>688</v>
      </c>
      <c r="K113" s="6" t="s">
        <v>763</v>
      </c>
      <c r="L113" s="24">
        <v>53.642431135999999</v>
      </c>
      <c r="M113" s="24">
        <v>-0.25406113224999999</v>
      </c>
      <c r="N113" s="16">
        <v>1100000</v>
      </c>
      <c r="O113" s="16">
        <v>1100000</v>
      </c>
      <c r="P113" s="6" t="s">
        <v>65</v>
      </c>
      <c r="Q113" s="6" t="s">
        <v>184</v>
      </c>
      <c r="R113" s="6">
        <v>2023</v>
      </c>
      <c r="S113" s="6"/>
      <c r="T113" s="6" t="s">
        <v>54</v>
      </c>
      <c r="U113" s="6" t="s">
        <v>596</v>
      </c>
      <c r="V113" s="6"/>
      <c r="W113" s="6"/>
      <c r="X113" s="8"/>
      <c r="Y113" s="8"/>
      <c r="Z113" s="8"/>
      <c r="AA113" s="8"/>
      <c r="AB113" s="8"/>
      <c r="AC113" s="8"/>
      <c r="AD113" s="8"/>
      <c r="AE113" s="8"/>
      <c r="AF113" s="8"/>
      <c r="AG113" s="8"/>
      <c r="AH113" s="8"/>
      <c r="AI113" s="8"/>
      <c r="AJ113" s="8"/>
      <c r="AK113" s="8"/>
      <c r="AL113" s="8"/>
      <c r="AM113" s="8"/>
      <c r="AN113" s="8"/>
      <c r="AO113" s="8"/>
      <c r="AP113" s="8"/>
      <c r="AQ113" s="8"/>
      <c r="AR113" s="8"/>
      <c r="AS113" s="8"/>
    </row>
    <row r="114" spans="1:45" ht="105.75" customHeight="1" x14ac:dyDescent="0.45">
      <c r="A114" s="1" t="s">
        <v>826</v>
      </c>
      <c r="B114" s="2" t="s">
        <v>827</v>
      </c>
      <c r="C114" s="2" t="s">
        <v>828</v>
      </c>
      <c r="D114" s="2" t="s">
        <v>829</v>
      </c>
      <c r="E114" s="2" t="s">
        <v>144</v>
      </c>
      <c r="F114" s="2" t="s">
        <v>830</v>
      </c>
      <c r="G114" s="2"/>
      <c r="H114" s="2" t="s">
        <v>51</v>
      </c>
      <c r="I114" s="2" t="s">
        <v>51</v>
      </c>
      <c r="J114" s="2" t="s">
        <v>688</v>
      </c>
      <c r="K114" s="2" t="s">
        <v>790</v>
      </c>
      <c r="L114" s="23">
        <v>57.580312731418999</v>
      </c>
      <c r="M114" s="23">
        <v>-1.84481287459092</v>
      </c>
      <c r="N114" s="16">
        <v>200000</v>
      </c>
      <c r="O114" s="16">
        <v>200000</v>
      </c>
      <c r="P114" s="2" t="s">
        <v>75</v>
      </c>
      <c r="Q114" s="2" t="s">
        <v>75</v>
      </c>
      <c r="R114" s="2"/>
      <c r="S114" s="2"/>
      <c r="T114" s="2" t="s">
        <v>54</v>
      </c>
      <c r="U114" s="2" t="s">
        <v>660</v>
      </c>
      <c r="V114" s="2"/>
      <c r="W114" s="3" t="s">
        <v>831</v>
      </c>
      <c r="X114" s="4"/>
      <c r="Y114" s="4"/>
      <c r="Z114" s="4"/>
      <c r="AA114" s="4"/>
      <c r="AB114" s="4"/>
      <c r="AC114" s="4"/>
      <c r="AD114" s="4"/>
      <c r="AE114" s="4"/>
      <c r="AF114" s="4"/>
      <c r="AG114" s="4"/>
      <c r="AH114" s="4"/>
      <c r="AI114" s="4"/>
      <c r="AJ114" s="4"/>
      <c r="AK114" s="4"/>
      <c r="AL114" s="4"/>
      <c r="AM114" s="4"/>
      <c r="AN114" s="4"/>
      <c r="AO114" s="4"/>
      <c r="AP114" s="4"/>
      <c r="AQ114" s="4"/>
      <c r="AR114" s="4"/>
      <c r="AS114" s="4"/>
    </row>
    <row r="115" spans="1:45" ht="21.75" customHeight="1" x14ac:dyDescent="0.45">
      <c r="A115" s="5" t="s">
        <v>832</v>
      </c>
      <c r="B115" s="6" t="s">
        <v>833</v>
      </c>
      <c r="C115" s="6" t="s">
        <v>834</v>
      </c>
      <c r="D115" s="6" t="s">
        <v>835</v>
      </c>
      <c r="E115" s="6" t="s">
        <v>144</v>
      </c>
      <c r="F115" s="6" t="s">
        <v>144</v>
      </c>
      <c r="G115" s="6"/>
      <c r="H115" s="6" t="s">
        <v>51</v>
      </c>
      <c r="I115" s="6" t="s">
        <v>51</v>
      </c>
      <c r="J115" s="6" t="s">
        <v>688</v>
      </c>
      <c r="K115" s="6" t="s">
        <v>836</v>
      </c>
      <c r="L115" s="24">
        <v>53.61</v>
      </c>
      <c r="M115" s="24">
        <v>-0.23</v>
      </c>
      <c r="N115" s="16">
        <v>0</v>
      </c>
      <c r="O115" s="16" t="s">
        <v>176</v>
      </c>
      <c r="P115" s="6" t="s">
        <v>65</v>
      </c>
      <c r="Q115" s="6" t="s">
        <v>184</v>
      </c>
      <c r="R115" s="6">
        <v>2022</v>
      </c>
      <c r="S115" s="6">
        <v>2030</v>
      </c>
      <c r="T115" s="6" t="s">
        <v>54</v>
      </c>
      <c r="U115" s="6" t="s">
        <v>837</v>
      </c>
      <c r="V115" s="6"/>
      <c r="W115" s="7" t="s">
        <v>838</v>
      </c>
      <c r="X115" s="8"/>
      <c r="Y115" s="8"/>
      <c r="Z115" s="8"/>
      <c r="AA115" s="8"/>
      <c r="AB115" s="8"/>
      <c r="AC115" s="8"/>
      <c r="AD115" s="8"/>
      <c r="AE115" s="8"/>
      <c r="AF115" s="8"/>
      <c r="AG115" s="8"/>
      <c r="AH115" s="8"/>
      <c r="AI115" s="8"/>
      <c r="AJ115" s="8"/>
      <c r="AK115" s="8"/>
      <c r="AL115" s="8"/>
      <c r="AM115" s="8"/>
      <c r="AN115" s="8"/>
      <c r="AO115" s="8"/>
      <c r="AP115" s="8"/>
      <c r="AQ115" s="8"/>
      <c r="AR115" s="8"/>
      <c r="AS115" s="8"/>
    </row>
    <row r="116" spans="1:45" ht="42.75" customHeight="1" x14ac:dyDescent="0.45">
      <c r="A116" s="1" t="s">
        <v>992</v>
      </c>
      <c r="B116" s="2" t="s">
        <v>993</v>
      </c>
      <c r="C116" s="2" t="s">
        <v>994</v>
      </c>
      <c r="D116" s="2" t="s">
        <v>995</v>
      </c>
      <c r="E116" s="2" t="s">
        <v>144</v>
      </c>
      <c r="F116" s="2" t="s">
        <v>996</v>
      </c>
      <c r="G116" s="2"/>
      <c r="H116" s="2" t="s">
        <v>844</v>
      </c>
      <c r="I116" s="2" t="s">
        <v>844</v>
      </c>
      <c r="J116" s="2" t="s">
        <v>844</v>
      </c>
      <c r="K116" s="2" t="s">
        <v>844</v>
      </c>
      <c r="L116" s="23">
        <v>53.633000000000003</v>
      </c>
      <c r="M116" s="23">
        <v>0.61699999999999999</v>
      </c>
      <c r="N116" s="16">
        <v>6000000</v>
      </c>
      <c r="O116" s="16" t="s">
        <v>997</v>
      </c>
      <c r="P116" s="2" t="s">
        <v>65</v>
      </c>
      <c r="Q116" s="2" t="s">
        <v>149</v>
      </c>
      <c r="R116" s="2">
        <v>2023</v>
      </c>
      <c r="S116" s="2"/>
      <c r="T116" s="2" t="s">
        <v>54</v>
      </c>
      <c r="U116" s="2" t="s">
        <v>998</v>
      </c>
      <c r="V116" s="2" t="s">
        <v>576</v>
      </c>
      <c r="W116" s="3" t="s">
        <v>999</v>
      </c>
      <c r="X116" s="4"/>
      <c r="Y116" s="4"/>
      <c r="Z116" s="4"/>
      <c r="AA116" s="4"/>
      <c r="AB116" s="4"/>
      <c r="AC116" s="4"/>
      <c r="AD116" s="4"/>
      <c r="AE116" s="4"/>
      <c r="AF116" s="4"/>
      <c r="AG116" s="4"/>
      <c r="AH116" s="4"/>
      <c r="AI116" s="4"/>
      <c r="AJ116" s="4"/>
      <c r="AK116" s="4"/>
      <c r="AL116" s="4"/>
      <c r="AM116" s="4"/>
      <c r="AN116" s="4"/>
      <c r="AO116" s="4"/>
      <c r="AP116" s="4"/>
      <c r="AQ116" s="4"/>
      <c r="AR116" s="4"/>
      <c r="AS116" s="4"/>
    </row>
    <row r="117" spans="1:45" ht="32.25" customHeight="1" x14ac:dyDescent="0.45">
      <c r="A117" s="5" t="s">
        <v>1000</v>
      </c>
      <c r="B117" s="6" t="s">
        <v>1001</v>
      </c>
      <c r="C117" s="6" t="s">
        <v>1002</v>
      </c>
      <c r="D117" s="6" t="s">
        <v>1003</v>
      </c>
      <c r="E117" s="6" t="s">
        <v>144</v>
      </c>
      <c r="F117" s="6" t="s">
        <v>1004</v>
      </c>
      <c r="G117" s="6"/>
      <c r="H117" s="6" t="s">
        <v>844</v>
      </c>
      <c r="I117" s="6" t="s">
        <v>844</v>
      </c>
      <c r="J117" s="6" t="s">
        <v>844</v>
      </c>
      <c r="K117" s="6" t="s">
        <v>844</v>
      </c>
      <c r="L117" s="24">
        <v>53.846666999999997</v>
      </c>
      <c r="M117" s="24">
        <v>-3.5808330000000002</v>
      </c>
      <c r="N117" s="16">
        <v>25000000</v>
      </c>
      <c r="O117" s="16">
        <v>25000000</v>
      </c>
      <c r="P117" s="6" t="s">
        <v>65</v>
      </c>
      <c r="Q117" s="6" t="s">
        <v>184</v>
      </c>
      <c r="R117" s="6">
        <v>2023</v>
      </c>
      <c r="S117" s="6"/>
      <c r="T117" s="6" t="s">
        <v>54</v>
      </c>
      <c r="U117" s="6"/>
      <c r="V117" s="6" t="s">
        <v>160</v>
      </c>
      <c r="W117" s="7" t="s">
        <v>1005</v>
      </c>
      <c r="X117" s="8"/>
      <c r="Y117" s="8"/>
      <c r="Z117" s="8"/>
      <c r="AA117" s="8"/>
      <c r="AB117" s="8"/>
      <c r="AC117" s="8"/>
      <c r="AD117" s="8"/>
      <c r="AE117" s="8"/>
      <c r="AF117" s="8"/>
      <c r="AG117" s="8"/>
      <c r="AH117" s="8"/>
      <c r="AI117" s="8"/>
      <c r="AJ117" s="8"/>
      <c r="AK117" s="8"/>
      <c r="AL117" s="8"/>
      <c r="AM117" s="8"/>
      <c r="AN117" s="8"/>
      <c r="AO117" s="8"/>
      <c r="AP117" s="8"/>
      <c r="AQ117" s="8"/>
      <c r="AR117" s="8"/>
      <c r="AS117" s="8"/>
    </row>
    <row r="118" spans="1:45" ht="42.75" customHeight="1" x14ac:dyDescent="0.45">
      <c r="A118" s="1" t="s">
        <v>1006</v>
      </c>
      <c r="B118" s="2" t="s">
        <v>1007</v>
      </c>
      <c r="C118" s="2" t="s">
        <v>1008</v>
      </c>
      <c r="D118" s="2" t="s">
        <v>1009</v>
      </c>
      <c r="E118" s="2" t="s">
        <v>144</v>
      </c>
      <c r="F118" s="2" t="s">
        <v>589</v>
      </c>
      <c r="G118" s="2"/>
      <c r="H118" s="2" t="s">
        <v>844</v>
      </c>
      <c r="I118" s="2" t="s">
        <v>844</v>
      </c>
      <c r="J118" s="2" t="s">
        <v>844</v>
      </c>
      <c r="K118" s="2" t="s">
        <v>844</v>
      </c>
      <c r="L118" s="23">
        <v>58</v>
      </c>
      <c r="M118" s="23">
        <v>0.4</v>
      </c>
      <c r="N118" s="16">
        <v>10000000</v>
      </c>
      <c r="O118" s="16" t="s">
        <v>967</v>
      </c>
      <c r="P118" s="2" t="s">
        <v>75</v>
      </c>
      <c r="Q118" s="2" t="s">
        <v>75</v>
      </c>
      <c r="R118" s="2">
        <v>2017</v>
      </c>
      <c r="S118" s="2"/>
      <c r="T118" s="2" t="s">
        <v>54</v>
      </c>
      <c r="U118" s="2"/>
      <c r="V118" s="2"/>
      <c r="W118" s="3" t="s">
        <v>1010</v>
      </c>
      <c r="X118" s="4"/>
      <c r="Y118" s="4"/>
      <c r="Z118" s="4"/>
      <c r="AA118" s="4"/>
      <c r="AB118" s="4"/>
      <c r="AC118" s="4"/>
      <c r="AD118" s="4"/>
      <c r="AE118" s="4"/>
      <c r="AF118" s="4"/>
      <c r="AG118" s="4"/>
      <c r="AH118" s="4"/>
      <c r="AI118" s="4"/>
      <c r="AJ118" s="4"/>
      <c r="AK118" s="4"/>
      <c r="AL118" s="4"/>
      <c r="AM118" s="4"/>
      <c r="AN118" s="4"/>
      <c r="AO118" s="4"/>
      <c r="AP118" s="4"/>
      <c r="AQ118" s="4"/>
      <c r="AR118" s="4"/>
      <c r="AS118" s="4"/>
    </row>
    <row r="119" spans="1:45" ht="21.75" customHeight="1" x14ac:dyDescent="0.45">
      <c r="A119" s="5" t="s">
        <v>1011</v>
      </c>
      <c r="B119" s="6" t="s">
        <v>1012</v>
      </c>
      <c r="C119" s="6" t="s">
        <v>1013</v>
      </c>
      <c r="D119" s="6" t="s">
        <v>1014</v>
      </c>
      <c r="E119" s="6" t="s">
        <v>144</v>
      </c>
      <c r="F119" s="6" t="s">
        <v>1015</v>
      </c>
      <c r="G119" s="6"/>
      <c r="H119" s="6" t="s">
        <v>844</v>
      </c>
      <c r="I119" s="6" t="s">
        <v>844</v>
      </c>
      <c r="J119" s="6" t="s">
        <v>844</v>
      </c>
      <c r="K119" s="6" t="s">
        <v>975</v>
      </c>
      <c r="L119" s="24">
        <v>53.017499999999998</v>
      </c>
      <c r="M119" s="24">
        <v>1.7952779999999999</v>
      </c>
      <c r="N119" s="16">
        <v>20000000</v>
      </c>
      <c r="O119" s="16" t="s">
        <v>967</v>
      </c>
      <c r="P119" s="6" t="s">
        <v>65</v>
      </c>
      <c r="Q119" s="6" t="s">
        <v>184</v>
      </c>
      <c r="R119" s="6">
        <v>2022</v>
      </c>
      <c r="S119" s="6"/>
      <c r="T119" s="6" t="s">
        <v>54</v>
      </c>
      <c r="U119" s="6" t="s">
        <v>1016</v>
      </c>
      <c r="V119" s="6"/>
      <c r="W119" s="7" t="s">
        <v>1017</v>
      </c>
      <c r="X119" s="8"/>
      <c r="Y119" s="8"/>
      <c r="Z119" s="8"/>
      <c r="AA119" s="8"/>
      <c r="AB119" s="8"/>
      <c r="AC119" s="8"/>
      <c r="AD119" s="8"/>
      <c r="AE119" s="8"/>
      <c r="AF119" s="8"/>
      <c r="AG119" s="8"/>
      <c r="AH119" s="8"/>
      <c r="AI119" s="8"/>
      <c r="AJ119" s="8"/>
      <c r="AK119" s="8"/>
      <c r="AL119" s="8"/>
      <c r="AM119" s="8"/>
      <c r="AN119" s="8"/>
      <c r="AO119" s="8"/>
      <c r="AP119" s="8"/>
      <c r="AQ119" s="8"/>
      <c r="AR119" s="8"/>
      <c r="AS119" s="8"/>
    </row>
    <row r="120" spans="1:45" ht="21.75" customHeight="1" x14ac:dyDescent="0.45">
      <c r="A120" s="1" t="s">
        <v>1018</v>
      </c>
      <c r="B120" s="2" t="s">
        <v>1019</v>
      </c>
      <c r="C120" s="2" t="s">
        <v>1020</v>
      </c>
      <c r="D120" s="2" t="s">
        <v>1021</v>
      </c>
      <c r="E120" s="2" t="s">
        <v>144</v>
      </c>
      <c r="F120" s="2" t="s">
        <v>144</v>
      </c>
      <c r="G120" s="2"/>
      <c r="H120" s="2" t="s">
        <v>844</v>
      </c>
      <c r="I120" s="2" t="s">
        <v>844</v>
      </c>
      <c r="J120" s="2" t="s">
        <v>844</v>
      </c>
      <c r="K120" s="2" t="s">
        <v>975</v>
      </c>
      <c r="L120" s="23">
        <v>54.254779999999997</v>
      </c>
      <c r="M120" s="23">
        <v>0.94047000000000003</v>
      </c>
      <c r="N120" s="16">
        <v>4000000</v>
      </c>
      <c r="O120" s="16">
        <v>27000000</v>
      </c>
      <c r="P120" s="2" t="s">
        <v>75</v>
      </c>
      <c r="Q120" s="2" t="s">
        <v>75</v>
      </c>
      <c r="R120" s="2">
        <v>2020</v>
      </c>
      <c r="S120" s="2">
        <v>2028</v>
      </c>
      <c r="T120" s="2" t="s">
        <v>86</v>
      </c>
      <c r="U120" s="2" t="s">
        <v>1022</v>
      </c>
      <c r="V120" s="2"/>
      <c r="W120" s="3" t="s">
        <v>1023</v>
      </c>
      <c r="X120" s="4"/>
      <c r="Y120" s="4"/>
      <c r="Z120" s="4"/>
      <c r="AA120" s="4"/>
      <c r="AB120" s="4"/>
      <c r="AC120" s="4"/>
      <c r="AD120" s="4"/>
      <c r="AE120" s="4"/>
      <c r="AF120" s="4"/>
      <c r="AG120" s="4"/>
      <c r="AH120" s="4"/>
      <c r="AI120" s="4"/>
      <c r="AJ120" s="4"/>
      <c r="AK120" s="4"/>
      <c r="AL120" s="4"/>
      <c r="AM120" s="4"/>
      <c r="AN120" s="4"/>
      <c r="AO120" s="4"/>
      <c r="AP120" s="4"/>
      <c r="AQ120" s="4"/>
      <c r="AR120" s="4"/>
      <c r="AS120" s="4"/>
    </row>
    <row r="121" spans="1:45" ht="32.25" customHeight="1" x14ac:dyDescent="0.45">
      <c r="A121" s="5" t="s">
        <v>1024</v>
      </c>
      <c r="B121" s="6" t="s">
        <v>1025</v>
      </c>
      <c r="C121" s="6" t="s">
        <v>1026</v>
      </c>
      <c r="D121" s="6" t="s">
        <v>1027</v>
      </c>
      <c r="E121" s="6" t="s">
        <v>144</v>
      </c>
      <c r="F121" s="6" t="s">
        <v>144</v>
      </c>
      <c r="G121" s="6"/>
      <c r="H121" s="6" t="s">
        <v>844</v>
      </c>
      <c r="I121" s="6" t="s">
        <v>844</v>
      </c>
      <c r="J121" s="6" t="s">
        <v>844</v>
      </c>
      <c r="K121" s="6" t="s">
        <v>844</v>
      </c>
      <c r="L121" s="24">
        <v>53.448056000000001</v>
      </c>
      <c r="M121" s="24">
        <v>2.333056</v>
      </c>
      <c r="N121" s="16">
        <v>10000000</v>
      </c>
      <c r="O121" s="16">
        <v>10000000</v>
      </c>
      <c r="P121" s="6" t="s">
        <v>65</v>
      </c>
      <c r="Q121" s="6" t="s">
        <v>149</v>
      </c>
      <c r="R121" s="6">
        <v>2022</v>
      </c>
      <c r="S121" s="6"/>
      <c r="T121" s="6" t="s">
        <v>54</v>
      </c>
      <c r="U121" s="6"/>
      <c r="V121" s="6"/>
      <c r="W121" s="7" t="s">
        <v>1028</v>
      </c>
      <c r="X121" s="8"/>
      <c r="Y121" s="8"/>
      <c r="Z121" s="8"/>
      <c r="AA121" s="8"/>
      <c r="AB121" s="8"/>
      <c r="AC121" s="8"/>
      <c r="AD121" s="8"/>
      <c r="AE121" s="8"/>
      <c r="AF121" s="8"/>
      <c r="AG121" s="8"/>
      <c r="AH121" s="8"/>
      <c r="AI121" s="8"/>
      <c r="AJ121" s="8"/>
      <c r="AK121" s="8"/>
      <c r="AL121" s="8"/>
      <c r="AM121" s="8"/>
      <c r="AN121" s="8"/>
      <c r="AO121" s="8"/>
      <c r="AP121" s="8"/>
      <c r="AQ121" s="8"/>
      <c r="AR121" s="8"/>
      <c r="AS121" s="8"/>
    </row>
    <row r="122" spans="1:45" ht="42.75" customHeight="1" x14ac:dyDescent="0.45">
      <c r="A122" s="1" t="s">
        <v>1203</v>
      </c>
      <c r="B122" s="2" t="s">
        <v>1204</v>
      </c>
      <c r="C122" s="2" t="s">
        <v>1013</v>
      </c>
      <c r="D122" s="2" t="s">
        <v>1205</v>
      </c>
      <c r="E122" s="2" t="s">
        <v>144</v>
      </c>
      <c r="F122" s="2" t="s">
        <v>1206</v>
      </c>
      <c r="G122" s="2"/>
      <c r="H122" s="2" t="s">
        <v>51</v>
      </c>
      <c r="I122" s="2" t="s">
        <v>51</v>
      </c>
      <c r="J122" s="2" t="s">
        <v>1033</v>
      </c>
      <c r="K122" s="2" t="s">
        <v>1207</v>
      </c>
      <c r="L122" s="23">
        <v>51.504725000000001</v>
      </c>
      <c r="M122" s="23">
        <v>0.155109</v>
      </c>
      <c r="N122" s="16">
        <v>10000000</v>
      </c>
      <c r="O122" s="16" t="s">
        <v>967</v>
      </c>
      <c r="P122" s="2" t="s">
        <v>65</v>
      </c>
      <c r="Q122" s="2" t="s">
        <v>184</v>
      </c>
      <c r="R122" s="2">
        <v>2022</v>
      </c>
      <c r="S122" s="2"/>
      <c r="T122" s="2" t="s">
        <v>54</v>
      </c>
      <c r="U122" s="2" t="s">
        <v>1208</v>
      </c>
      <c r="V122" s="2"/>
      <c r="W122" s="3" t="s">
        <v>1017</v>
      </c>
      <c r="X122" s="4"/>
      <c r="Y122" s="4"/>
      <c r="Z122" s="4"/>
      <c r="AA122" s="4"/>
      <c r="AB122" s="4"/>
      <c r="AC122" s="4"/>
      <c r="AD122" s="4"/>
      <c r="AE122" s="4"/>
      <c r="AF122" s="4"/>
      <c r="AG122" s="4"/>
      <c r="AH122" s="4"/>
      <c r="AI122" s="4"/>
      <c r="AJ122" s="4"/>
      <c r="AK122" s="4"/>
      <c r="AL122" s="4"/>
      <c r="AM122" s="4"/>
      <c r="AN122" s="4"/>
      <c r="AO122" s="4"/>
      <c r="AP122" s="4"/>
      <c r="AQ122" s="4"/>
      <c r="AR122" s="4"/>
      <c r="AS122" s="4"/>
    </row>
    <row r="123" spans="1:45" ht="21.75" customHeight="1" x14ac:dyDescent="0.45">
      <c r="A123" s="5" t="s">
        <v>1209</v>
      </c>
      <c r="B123" s="6" t="s">
        <v>1210</v>
      </c>
      <c r="C123" s="6" t="s">
        <v>1211</v>
      </c>
      <c r="D123" s="6" t="s">
        <v>1212</v>
      </c>
      <c r="E123" s="6" t="s">
        <v>144</v>
      </c>
      <c r="F123" s="6" t="s">
        <v>1213</v>
      </c>
      <c r="G123" s="6"/>
      <c r="H123" s="6" t="s">
        <v>51</v>
      </c>
      <c r="I123" s="6" t="s">
        <v>51</v>
      </c>
      <c r="J123" s="6" t="s">
        <v>1033</v>
      </c>
      <c r="K123" s="6" t="s">
        <v>1177</v>
      </c>
      <c r="L123" s="24">
        <v>51.71</v>
      </c>
      <c r="M123" s="24">
        <v>-5.05</v>
      </c>
      <c r="N123" s="16">
        <v>5000000</v>
      </c>
      <c r="O123" s="16">
        <v>5000000</v>
      </c>
      <c r="P123" s="6" t="s">
        <v>75</v>
      </c>
      <c r="Q123" s="6" t="s">
        <v>75</v>
      </c>
      <c r="R123" s="6">
        <v>2024</v>
      </c>
      <c r="S123" s="6">
        <v>2030</v>
      </c>
      <c r="T123" s="6" t="s">
        <v>54</v>
      </c>
      <c r="U123" s="6" t="s">
        <v>1214</v>
      </c>
      <c r="V123" s="6"/>
      <c r="W123" s="6" t="s">
        <v>1215</v>
      </c>
      <c r="X123" s="8"/>
      <c r="Y123" s="8"/>
      <c r="Z123" s="8"/>
      <c r="AA123" s="8"/>
      <c r="AB123" s="8"/>
      <c r="AC123" s="8"/>
      <c r="AD123" s="8"/>
      <c r="AE123" s="8"/>
      <c r="AF123" s="8"/>
      <c r="AG123" s="8"/>
      <c r="AH123" s="8"/>
      <c r="AI123" s="8"/>
      <c r="AJ123" s="8"/>
      <c r="AK123" s="8"/>
      <c r="AL123" s="8"/>
      <c r="AM123" s="8"/>
      <c r="AN123" s="8"/>
      <c r="AO123" s="8"/>
      <c r="AP123" s="8"/>
      <c r="AQ123" s="8"/>
      <c r="AR123" s="8"/>
      <c r="AS123" s="8"/>
    </row>
    <row r="124" spans="1:45" ht="53.25" customHeight="1" x14ac:dyDescent="0.45">
      <c r="A124" s="1" t="s">
        <v>1216</v>
      </c>
      <c r="B124" s="2" t="s">
        <v>1217</v>
      </c>
      <c r="C124" s="2" t="s">
        <v>1218</v>
      </c>
      <c r="D124" s="2" t="s">
        <v>1219</v>
      </c>
      <c r="E124" s="2" t="s">
        <v>144</v>
      </c>
      <c r="F124" s="2" t="s">
        <v>1220</v>
      </c>
      <c r="G124" s="2"/>
      <c r="H124" s="2" t="s">
        <v>51</v>
      </c>
      <c r="I124" s="2" t="s">
        <v>51</v>
      </c>
      <c r="J124" s="2" t="s">
        <v>1033</v>
      </c>
      <c r="K124" s="2" t="s">
        <v>1163</v>
      </c>
      <c r="L124" s="23">
        <v>60.458514999999998</v>
      </c>
      <c r="M124" s="23">
        <v>-1.28898</v>
      </c>
      <c r="N124" s="16">
        <v>0</v>
      </c>
      <c r="O124" s="16" t="s">
        <v>176</v>
      </c>
      <c r="P124" s="2" t="s">
        <v>65</v>
      </c>
      <c r="Q124" s="2" t="s">
        <v>65</v>
      </c>
      <c r="R124" s="2"/>
      <c r="S124" s="2"/>
      <c r="T124" s="2" t="s">
        <v>98</v>
      </c>
      <c r="U124" s="2" t="s">
        <v>1221</v>
      </c>
      <c r="V124" s="2"/>
      <c r="W124" s="2" t="s">
        <v>1222</v>
      </c>
      <c r="X124" s="4"/>
      <c r="Y124" s="4"/>
      <c r="Z124" s="4"/>
      <c r="AA124" s="4"/>
      <c r="AB124" s="4"/>
      <c r="AC124" s="4"/>
      <c r="AD124" s="4"/>
      <c r="AE124" s="4"/>
      <c r="AF124" s="4"/>
      <c r="AG124" s="4"/>
      <c r="AH124" s="4"/>
      <c r="AI124" s="4"/>
      <c r="AJ124" s="4"/>
      <c r="AK124" s="4"/>
      <c r="AL124" s="4"/>
      <c r="AM124" s="4"/>
      <c r="AN124" s="4"/>
      <c r="AO124" s="4"/>
      <c r="AP124" s="4"/>
      <c r="AQ124" s="4"/>
      <c r="AR124" s="4"/>
      <c r="AS124" s="4"/>
    </row>
    <row r="125" spans="1:45" ht="32.25" customHeight="1" x14ac:dyDescent="0.45">
      <c r="A125" s="5" t="s">
        <v>1223</v>
      </c>
      <c r="B125" s="6" t="s">
        <v>1224</v>
      </c>
      <c r="C125" s="6" t="s">
        <v>1225</v>
      </c>
      <c r="D125" s="6" t="s">
        <v>1226</v>
      </c>
      <c r="E125" s="6" t="s">
        <v>144</v>
      </c>
      <c r="F125" s="6" t="s">
        <v>1227</v>
      </c>
      <c r="G125" s="6"/>
      <c r="H125" s="6" t="s">
        <v>51</v>
      </c>
      <c r="I125" s="6" t="s">
        <v>51</v>
      </c>
      <c r="J125" s="6" t="s">
        <v>1033</v>
      </c>
      <c r="K125" s="6" t="s">
        <v>1228</v>
      </c>
      <c r="L125" s="24">
        <v>53.625359000000003</v>
      </c>
      <c r="M125" s="24">
        <v>-0.19412499999999999</v>
      </c>
      <c r="N125" s="16">
        <v>0</v>
      </c>
      <c r="O125" s="16" t="s">
        <v>176</v>
      </c>
      <c r="P125" s="6" t="s">
        <v>53</v>
      </c>
      <c r="Q125" s="6" t="s">
        <v>53</v>
      </c>
      <c r="R125" s="6"/>
      <c r="S125" s="6"/>
      <c r="T125" s="6" t="s">
        <v>98</v>
      </c>
      <c r="U125" s="6" t="s">
        <v>1229</v>
      </c>
      <c r="V125" s="6"/>
      <c r="W125" s="6"/>
      <c r="X125" s="8"/>
      <c r="Y125" s="8"/>
      <c r="Z125" s="8"/>
      <c r="AA125" s="8"/>
      <c r="AB125" s="8"/>
      <c r="AC125" s="8"/>
      <c r="AD125" s="8"/>
      <c r="AE125" s="8"/>
      <c r="AF125" s="8"/>
      <c r="AG125" s="8"/>
      <c r="AH125" s="8"/>
      <c r="AI125" s="8"/>
      <c r="AJ125" s="8"/>
      <c r="AK125" s="8"/>
      <c r="AL125" s="8"/>
      <c r="AM125" s="8"/>
      <c r="AN125" s="8"/>
      <c r="AO125" s="8"/>
      <c r="AP125" s="8"/>
      <c r="AQ125" s="8"/>
      <c r="AR125" s="8"/>
      <c r="AS125" s="8"/>
    </row>
    <row r="126" spans="1:45" ht="32.25" customHeight="1" x14ac:dyDescent="0.45">
      <c r="A126" s="1" t="s">
        <v>1230</v>
      </c>
      <c r="B126" s="2" t="s">
        <v>1231</v>
      </c>
      <c r="C126" s="2" t="s">
        <v>1232</v>
      </c>
      <c r="D126" s="2"/>
      <c r="E126" s="2" t="s">
        <v>144</v>
      </c>
      <c r="F126" s="2" t="s">
        <v>659</v>
      </c>
      <c r="G126" s="2"/>
      <c r="H126" s="2" t="s">
        <v>51</v>
      </c>
      <c r="I126" s="2" t="s">
        <v>51</v>
      </c>
      <c r="J126" s="2" t="s">
        <v>1033</v>
      </c>
      <c r="K126" s="2" t="s">
        <v>1163</v>
      </c>
      <c r="L126" s="23">
        <v>57.502381999999997</v>
      </c>
      <c r="M126" s="23">
        <v>-1.770508</v>
      </c>
      <c r="N126" s="16">
        <v>0</v>
      </c>
      <c r="O126" s="16" t="s">
        <v>176</v>
      </c>
      <c r="P126" s="2" t="s">
        <v>65</v>
      </c>
      <c r="Q126" s="2" t="s">
        <v>149</v>
      </c>
      <c r="R126" s="2"/>
      <c r="S126" s="2"/>
      <c r="T126" s="2" t="s">
        <v>98</v>
      </c>
      <c r="U126" s="2" t="s">
        <v>1233</v>
      </c>
      <c r="V126" s="2"/>
      <c r="W126" s="2"/>
      <c r="X126" s="4"/>
      <c r="Y126" s="4"/>
      <c r="Z126" s="4"/>
      <c r="AA126" s="4"/>
      <c r="AB126" s="4"/>
      <c r="AC126" s="4"/>
      <c r="AD126" s="4"/>
      <c r="AE126" s="4"/>
      <c r="AF126" s="4"/>
      <c r="AG126" s="4"/>
      <c r="AH126" s="4"/>
      <c r="AI126" s="4"/>
      <c r="AJ126" s="4"/>
      <c r="AK126" s="4"/>
      <c r="AL126" s="4"/>
      <c r="AM126" s="4"/>
      <c r="AN126" s="4"/>
      <c r="AO126" s="4"/>
      <c r="AP126" s="4"/>
      <c r="AQ126" s="4"/>
      <c r="AR126" s="4"/>
      <c r="AS126" s="4"/>
    </row>
    <row r="127" spans="1:45" ht="32.25" customHeight="1" x14ac:dyDescent="0.45">
      <c r="A127" s="5" t="s">
        <v>1234</v>
      </c>
      <c r="B127" s="6" t="s">
        <v>1235</v>
      </c>
      <c r="C127" s="6" t="s">
        <v>1236</v>
      </c>
      <c r="D127" s="6"/>
      <c r="E127" s="6" t="s">
        <v>144</v>
      </c>
      <c r="F127" s="6" t="s">
        <v>1237</v>
      </c>
      <c r="G127" s="6"/>
      <c r="H127" s="6" t="s">
        <v>51</v>
      </c>
      <c r="I127" s="6" t="s">
        <v>51</v>
      </c>
      <c r="J127" s="6" t="s">
        <v>1033</v>
      </c>
      <c r="K127" s="6" t="s">
        <v>1177</v>
      </c>
      <c r="L127" s="24">
        <v>51.589792000000003</v>
      </c>
      <c r="M127" s="24">
        <v>-3.7871049999999999</v>
      </c>
      <c r="N127" s="16">
        <v>0</v>
      </c>
      <c r="O127" s="16" t="s">
        <v>176</v>
      </c>
      <c r="P127" s="6" t="s">
        <v>53</v>
      </c>
      <c r="Q127" s="6" t="s">
        <v>53</v>
      </c>
      <c r="R127" s="6"/>
      <c r="S127" s="6"/>
      <c r="T127" s="6" t="s">
        <v>98</v>
      </c>
      <c r="U127" s="6"/>
      <c r="V127" s="6"/>
      <c r="W127" s="6"/>
      <c r="X127" s="8"/>
      <c r="Y127" s="8"/>
      <c r="Z127" s="8"/>
      <c r="AA127" s="8"/>
      <c r="AB127" s="8"/>
      <c r="AC127" s="8"/>
      <c r="AD127" s="8"/>
      <c r="AE127" s="8"/>
      <c r="AF127" s="8"/>
      <c r="AG127" s="8"/>
      <c r="AH127" s="8"/>
      <c r="AI127" s="8"/>
      <c r="AJ127" s="8"/>
      <c r="AK127" s="8"/>
      <c r="AL127" s="8"/>
      <c r="AM127" s="8"/>
      <c r="AN127" s="8"/>
      <c r="AO127" s="8"/>
      <c r="AP127" s="8"/>
      <c r="AQ127" s="8"/>
      <c r="AR127" s="8"/>
      <c r="AS127" s="8"/>
    </row>
    <row r="128" spans="1:45" ht="74.25" customHeight="1" x14ac:dyDescent="0.45">
      <c r="A128" s="1" t="s">
        <v>1392</v>
      </c>
      <c r="B128" s="2" t="s">
        <v>1393</v>
      </c>
      <c r="C128" s="2" t="s">
        <v>1394</v>
      </c>
      <c r="D128" s="2" t="s">
        <v>1395</v>
      </c>
      <c r="E128" s="2" t="s">
        <v>144</v>
      </c>
      <c r="F128" s="2" t="s">
        <v>1396</v>
      </c>
      <c r="G128" s="2"/>
      <c r="H128" s="2" t="s">
        <v>1243</v>
      </c>
      <c r="I128" s="2" t="s">
        <v>1243</v>
      </c>
      <c r="J128" s="2" t="s">
        <v>1243</v>
      </c>
      <c r="K128" s="2" t="s">
        <v>1243</v>
      </c>
      <c r="L128" s="23">
        <v>53.718592999999998</v>
      </c>
      <c r="M128" s="23">
        <v>-1.2872269999999999</v>
      </c>
      <c r="N128" s="16">
        <v>1420000</v>
      </c>
      <c r="O128" s="16">
        <v>1420000</v>
      </c>
      <c r="P128" s="2" t="s">
        <v>65</v>
      </c>
      <c r="Q128" s="2" t="s">
        <v>184</v>
      </c>
      <c r="R128" s="2"/>
      <c r="S128" s="2"/>
      <c r="T128" s="2" t="s">
        <v>54</v>
      </c>
      <c r="U128" s="2"/>
      <c r="V128" s="2"/>
      <c r="W128" s="2"/>
      <c r="X128" s="4"/>
      <c r="Y128" s="4"/>
      <c r="Z128" s="4"/>
      <c r="AA128" s="4"/>
      <c r="AB128" s="4"/>
      <c r="AC128" s="4"/>
      <c r="AD128" s="4"/>
      <c r="AE128" s="4"/>
      <c r="AF128" s="4"/>
      <c r="AG128" s="4"/>
      <c r="AH128" s="4"/>
      <c r="AI128" s="4"/>
      <c r="AJ128" s="4"/>
      <c r="AK128" s="4"/>
      <c r="AL128" s="4"/>
      <c r="AM128" s="4"/>
      <c r="AN128" s="4"/>
      <c r="AO128" s="4"/>
      <c r="AP128" s="4"/>
      <c r="AQ128" s="4"/>
      <c r="AR128" s="4"/>
      <c r="AS128" s="4"/>
    </row>
    <row r="129" spans="1:45" ht="53.25" customHeight="1" x14ac:dyDescent="0.45">
      <c r="A129" s="5" t="s">
        <v>1397</v>
      </c>
      <c r="B129" s="6" t="s">
        <v>1398</v>
      </c>
      <c r="C129" s="6" t="s">
        <v>1399</v>
      </c>
      <c r="D129" s="6" t="s">
        <v>1400</v>
      </c>
      <c r="E129" s="6" t="s">
        <v>144</v>
      </c>
      <c r="F129" s="6" t="s">
        <v>1206</v>
      </c>
      <c r="G129" s="6"/>
      <c r="H129" s="6" t="s">
        <v>1243</v>
      </c>
      <c r="I129" s="6" t="s">
        <v>1243</v>
      </c>
      <c r="J129" s="6" t="s">
        <v>1243</v>
      </c>
      <c r="K129" s="6" t="s">
        <v>1243</v>
      </c>
      <c r="L129" s="24">
        <v>51.6128</v>
      </c>
      <c r="M129" s="24">
        <v>-4.48E-2</v>
      </c>
      <c r="N129" s="16">
        <v>700000</v>
      </c>
      <c r="O129" s="16">
        <v>700000</v>
      </c>
      <c r="P129" s="6" t="s">
        <v>53</v>
      </c>
      <c r="Q129" s="6" t="s">
        <v>53</v>
      </c>
      <c r="R129" s="6">
        <v>2021</v>
      </c>
      <c r="S129" s="6"/>
      <c r="T129" s="6" t="s">
        <v>54</v>
      </c>
      <c r="U129" s="6"/>
      <c r="V129" s="6"/>
      <c r="W129" s="7" t="s">
        <v>1401</v>
      </c>
      <c r="X129" s="8"/>
      <c r="Y129" s="8"/>
      <c r="Z129" s="8"/>
      <c r="AA129" s="8"/>
      <c r="AB129" s="8"/>
      <c r="AC129" s="8"/>
      <c r="AD129" s="8"/>
      <c r="AE129" s="8"/>
      <c r="AF129" s="8"/>
      <c r="AG129" s="8"/>
      <c r="AH129" s="8"/>
      <c r="AI129" s="8"/>
      <c r="AJ129" s="8"/>
      <c r="AK129" s="8"/>
      <c r="AL129" s="8"/>
      <c r="AM129" s="8"/>
      <c r="AN129" s="8"/>
      <c r="AO129" s="8"/>
      <c r="AP129" s="8"/>
      <c r="AQ129" s="8"/>
      <c r="AR129" s="8"/>
      <c r="AS129" s="8"/>
    </row>
    <row r="130" spans="1:45" ht="32.25" customHeight="1" x14ac:dyDescent="0.45">
      <c r="A130" s="1" t="s">
        <v>1402</v>
      </c>
      <c r="B130" s="2" t="s">
        <v>1403</v>
      </c>
      <c r="C130" s="2" t="s">
        <v>1404</v>
      </c>
      <c r="D130" s="2" t="s">
        <v>1405</v>
      </c>
      <c r="E130" s="2" t="s">
        <v>144</v>
      </c>
      <c r="F130" s="2" t="s">
        <v>613</v>
      </c>
      <c r="G130" s="2"/>
      <c r="H130" s="2" t="s">
        <v>1243</v>
      </c>
      <c r="I130" s="2" t="s">
        <v>1243</v>
      </c>
      <c r="J130" s="2" t="s">
        <v>1243</v>
      </c>
      <c r="K130" s="2" t="s">
        <v>1243</v>
      </c>
      <c r="L130" s="23">
        <v>53.237996000000003</v>
      </c>
      <c r="M130" s="23">
        <v>-3.0341154449999999</v>
      </c>
      <c r="N130" s="16">
        <v>235000</v>
      </c>
      <c r="O130" s="16">
        <v>235000</v>
      </c>
      <c r="P130" s="2" t="s">
        <v>65</v>
      </c>
      <c r="Q130" s="2" t="s">
        <v>184</v>
      </c>
      <c r="R130" s="2">
        <v>2022</v>
      </c>
      <c r="S130" s="2"/>
      <c r="T130" s="2" t="s">
        <v>54</v>
      </c>
      <c r="U130" s="2" t="s">
        <v>1406</v>
      </c>
      <c r="V130" s="2"/>
      <c r="W130" s="3" t="s">
        <v>1407</v>
      </c>
      <c r="X130" s="4"/>
      <c r="Y130" s="4"/>
      <c r="Z130" s="4"/>
      <c r="AA130" s="4"/>
      <c r="AB130" s="4"/>
      <c r="AC130" s="4"/>
      <c r="AD130" s="4"/>
      <c r="AE130" s="4"/>
      <c r="AF130" s="4"/>
      <c r="AG130" s="4"/>
      <c r="AH130" s="4"/>
      <c r="AI130" s="4"/>
      <c r="AJ130" s="4"/>
      <c r="AK130" s="4"/>
      <c r="AL130" s="4"/>
      <c r="AM130" s="4"/>
      <c r="AN130" s="4"/>
      <c r="AO130" s="4"/>
      <c r="AP130" s="4"/>
      <c r="AQ130" s="4"/>
      <c r="AR130" s="4"/>
      <c r="AS130" s="4"/>
    </row>
    <row r="131" spans="1:45" ht="32.25" customHeight="1" x14ac:dyDescent="0.45">
      <c r="A131" s="5" t="s">
        <v>1408</v>
      </c>
      <c r="B131" s="6" t="s">
        <v>1409</v>
      </c>
      <c r="C131" s="6" t="s">
        <v>1410</v>
      </c>
      <c r="D131" s="6" t="s">
        <v>1411</v>
      </c>
      <c r="E131" s="6" t="s">
        <v>144</v>
      </c>
      <c r="F131" s="6"/>
      <c r="G131" s="6"/>
      <c r="H131" s="6" t="s">
        <v>1243</v>
      </c>
      <c r="I131" s="6" t="s">
        <v>1243</v>
      </c>
      <c r="J131" s="6" t="s">
        <v>1243</v>
      </c>
      <c r="K131" s="6" t="s">
        <v>1243</v>
      </c>
      <c r="L131" s="24">
        <v>53.282708999999997</v>
      </c>
      <c r="M131" s="24">
        <v>-2.8065169999999999</v>
      </c>
      <c r="N131" s="16">
        <v>370000</v>
      </c>
      <c r="O131" s="16">
        <v>370000</v>
      </c>
      <c r="P131" s="6" t="s">
        <v>65</v>
      </c>
      <c r="Q131" s="6" t="s">
        <v>184</v>
      </c>
      <c r="R131" s="6">
        <v>2023</v>
      </c>
      <c r="S131" s="6">
        <v>2029</v>
      </c>
      <c r="T131" s="6" t="s">
        <v>54</v>
      </c>
      <c r="U131" s="6" t="s">
        <v>1412</v>
      </c>
      <c r="V131" s="6"/>
      <c r="W131" s="7" t="s">
        <v>1413</v>
      </c>
      <c r="X131" s="8"/>
      <c r="Y131" s="8"/>
      <c r="Z131" s="8"/>
      <c r="AA131" s="8"/>
      <c r="AB131" s="8"/>
      <c r="AC131" s="8"/>
      <c r="AD131" s="8"/>
      <c r="AE131" s="8"/>
      <c r="AF131" s="8"/>
      <c r="AG131" s="8"/>
      <c r="AH131" s="8"/>
      <c r="AI131" s="8"/>
      <c r="AJ131" s="8"/>
      <c r="AK131" s="8"/>
      <c r="AL131" s="8"/>
      <c r="AM131" s="8"/>
      <c r="AN131" s="8"/>
      <c r="AO131" s="8"/>
      <c r="AP131" s="8"/>
      <c r="AQ131" s="8"/>
      <c r="AR131" s="8"/>
      <c r="AS131" s="8"/>
    </row>
    <row r="132" spans="1:45" ht="21.75" customHeight="1" x14ac:dyDescent="0.45">
      <c r="A132" s="1" t="s">
        <v>1414</v>
      </c>
      <c r="B132" s="2" t="s">
        <v>1415</v>
      </c>
      <c r="C132" s="2" t="s">
        <v>1416</v>
      </c>
      <c r="D132" s="2" t="s">
        <v>1417</v>
      </c>
      <c r="E132" s="2" t="s">
        <v>144</v>
      </c>
      <c r="F132" s="2" t="s">
        <v>582</v>
      </c>
      <c r="G132" s="2"/>
      <c r="H132" s="2" t="s">
        <v>1243</v>
      </c>
      <c r="I132" s="2" t="s">
        <v>1243</v>
      </c>
      <c r="J132" s="2" t="s">
        <v>1243</v>
      </c>
      <c r="K132" s="2" t="s">
        <v>1243</v>
      </c>
      <c r="L132" s="23">
        <v>54.595210971866997</v>
      </c>
      <c r="M132" s="23">
        <v>-1.2586979478581799</v>
      </c>
      <c r="N132" s="16">
        <v>240000</v>
      </c>
      <c r="O132" s="16">
        <v>240000</v>
      </c>
      <c r="P132" s="2" t="s">
        <v>53</v>
      </c>
      <c r="Q132" s="2" t="s">
        <v>53</v>
      </c>
      <c r="R132" s="2">
        <v>2020</v>
      </c>
      <c r="S132" s="2"/>
      <c r="T132" s="2" t="s">
        <v>54</v>
      </c>
      <c r="U132" s="2" t="s">
        <v>596</v>
      </c>
      <c r="V132" s="2"/>
      <c r="W132" s="3" t="s">
        <v>1418</v>
      </c>
      <c r="X132" s="4"/>
      <c r="Y132" s="4"/>
      <c r="Z132" s="4"/>
      <c r="AA132" s="4"/>
      <c r="AB132" s="4"/>
      <c r="AC132" s="4"/>
      <c r="AD132" s="4"/>
      <c r="AE132" s="4"/>
      <c r="AF132" s="4"/>
      <c r="AG132" s="4"/>
      <c r="AH132" s="4"/>
      <c r="AI132" s="4"/>
      <c r="AJ132" s="4"/>
      <c r="AK132" s="4"/>
      <c r="AL132" s="4"/>
      <c r="AM132" s="4"/>
      <c r="AN132" s="4"/>
      <c r="AO132" s="4"/>
      <c r="AP132" s="4"/>
      <c r="AQ132" s="4"/>
      <c r="AR132" s="4"/>
      <c r="AS132" s="4"/>
    </row>
    <row r="133" spans="1:45" ht="42.75" customHeight="1" x14ac:dyDescent="0.45">
      <c r="A133" s="5" t="s">
        <v>1419</v>
      </c>
      <c r="B133" s="6" t="s">
        <v>1420</v>
      </c>
      <c r="C133" s="6" t="s">
        <v>1421</v>
      </c>
      <c r="D133" s="6" t="s">
        <v>1422</v>
      </c>
      <c r="E133" s="6" t="s">
        <v>144</v>
      </c>
      <c r="F133" s="6" t="s">
        <v>1423</v>
      </c>
      <c r="G133" s="6"/>
      <c r="H133" s="6" t="s">
        <v>1243</v>
      </c>
      <c r="I133" s="6" t="s">
        <v>1243</v>
      </c>
      <c r="J133" s="6" t="s">
        <v>1243</v>
      </c>
      <c r="K133" s="6" t="s">
        <v>1243</v>
      </c>
      <c r="L133" s="24">
        <v>53.328319999999998</v>
      </c>
      <c r="M133" s="24">
        <v>-2.7572070000000002</v>
      </c>
      <c r="N133" s="16">
        <v>900000</v>
      </c>
      <c r="O133" s="16">
        <v>900000</v>
      </c>
      <c r="P133" s="6" t="s">
        <v>65</v>
      </c>
      <c r="Q133" s="6" t="s">
        <v>149</v>
      </c>
      <c r="R133" s="6">
        <v>2022</v>
      </c>
      <c r="S133" s="6"/>
      <c r="T133" s="6" t="s">
        <v>54</v>
      </c>
      <c r="U133" s="6" t="s">
        <v>1424</v>
      </c>
      <c r="V133" s="6"/>
      <c r="W133" s="7" t="s">
        <v>1425</v>
      </c>
      <c r="X133" s="8"/>
      <c r="Y133" s="8"/>
      <c r="Z133" s="8"/>
      <c r="AA133" s="8"/>
      <c r="AB133" s="8"/>
      <c r="AC133" s="8"/>
      <c r="AD133" s="8"/>
      <c r="AE133" s="8"/>
      <c r="AF133" s="8"/>
      <c r="AG133" s="8"/>
      <c r="AH133" s="8"/>
      <c r="AI133" s="8"/>
      <c r="AJ133" s="8"/>
      <c r="AK133" s="8"/>
      <c r="AL133" s="8"/>
      <c r="AM133" s="8"/>
      <c r="AN133" s="8"/>
      <c r="AO133" s="8"/>
      <c r="AP133" s="8"/>
      <c r="AQ133" s="8"/>
      <c r="AR133" s="8"/>
      <c r="AS133" s="8"/>
    </row>
    <row r="134" spans="1:45" ht="21.75" customHeight="1" x14ac:dyDescent="0.45">
      <c r="A134" s="1" t="s">
        <v>1426</v>
      </c>
      <c r="B134" s="2" t="s">
        <v>1427</v>
      </c>
      <c r="C134" s="2" t="s">
        <v>1428</v>
      </c>
      <c r="D134" s="2" t="s">
        <v>1429</v>
      </c>
      <c r="E134" s="2" t="s">
        <v>144</v>
      </c>
      <c r="F134" s="2" t="s">
        <v>1430</v>
      </c>
      <c r="G134" s="2"/>
      <c r="H134" s="2" t="s">
        <v>1243</v>
      </c>
      <c r="I134" s="2" t="s">
        <v>1243</v>
      </c>
      <c r="J134" s="2" t="s">
        <v>1243</v>
      </c>
      <c r="K134" s="2" t="s">
        <v>1243</v>
      </c>
      <c r="L134" s="23">
        <v>51.504483625465497</v>
      </c>
      <c r="M134" s="23">
        <v>0.15395918873852901</v>
      </c>
      <c r="N134" s="16">
        <v>1400000</v>
      </c>
      <c r="O134" s="16">
        <v>1400000</v>
      </c>
      <c r="P134" s="2" t="s">
        <v>75</v>
      </c>
      <c r="Q134" s="2" t="s">
        <v>75</v>
      </c>
      <c r="R134" s="2">
        <v>2024</v>
      </c>
      <c r="S134" s="2">
        <v>2039</v>
      </c>
      <c r="T134" s="2" t="s">
        <v>54</v>
      </c>
      <c r="U134" s="2"/>
      <c r="V134" s="2"/>
      <c r="W134" s="3" t="s">
        <v>1431</v>
      </c>
      <c r="X134" s="4"/>
      <c r="Y134" s="4"/>
      <c r="Z134" s="4"/>
      <c r="AA134" s="4"/>
      <c r="AB134" s="4"/>
      <c r="AC134" s="4"/>
      <c r="AD134" s="4"/>
      <c r="AE134" s="4"/>
      <c r="AF134" s="4"/>
      <c r="AG134" s="4"/>
      <c r="AH134" s="4"/>
      <c r="AI134" s="4"/>
      <c r="AJ134" s="4"/>
      <c r="AK134" s="4"/>
      <c r="AL134" s="4"/>
      <c r="AM134" s="4"/>
      <c r="AN134" s="4"/>
      <c r="AO134" s="4"/>
      <c r="AP134" s="4"/>
      <c r="AQ134" s="4"/>
      <c r="AR134" s="4"/>
      <c r="AS134" s="4"/>
    </row>
    <row r="135" spans="1:45" ht="42.75" customHeight="1" x14ac:dyDescent="0.45">
      <c r="A135" s="5" t="s">
        <v>1432</v>
      </c>
      <c r="B135" s="6" t="s">
        <v>1433</v>
      </c>
      <c r="C135" s="6" t="s">
        <v>1434</v>
      </c>
      <c r="D135" s="6" t="s">
        <v>1417</v>
      </c>
      <c r="E135" s="6" t="s">
        <v>144</v>
      </c>
      <c r="F135" s="6" t="s">
        <v>144</v>
      </c>
      <c r="G135" s="6"/>
      <c r="H135" s="6" t="s">
        <v>1243</v>
      </c>
      <c r="I135" s="6" t="s">
        <v>1243</v>
      </c>
      <c r="J135" s="6" t="s">
        <v>1243</v>
      </c>
      <c r="K135" s="6" t="s">
        <v>1243</v>
      </c>
      <c r="L135" s="24">
        <v>54.608429000000001</v>
      </c>
      <c r="M135" s="24">
        <v>-1.2555430000000001</v>
      </c>
      <c r="N135" s="16">
        <v>550000</v>
      </c>
      <c r="O135" s="16">
        <v>550000</v>
      </c>
      <c r="P135" s="6" t="s">
        <v>53</v>
      </c>
      <c r="Q135" s="6" t="s">
        <v>53</v>
      </c>
      <c r="R135" s="6">
        <v>2024</v>
      </c>
      <c r="S135" s="6"/>
      <c r="T135" s="6" t="s">
        <v>98</v>
      </c>
      <c r="U135" s="6"/>
      <c r="V135" s="6"/>
      <c r="W135" s="6" t="s">
        <v>1080</v>
      </c>
      <c r="X135" s="8"/>
      <c r="Y135" s="8"/>
      <c r="Z135" s="8"/>
      <c r="AA135" s="8"/>
      <c r="AB135" s="8"/>
      <c r="AC135" s="8"/>
      <c r="AD135" s="8"/>
      <c r="AE135" s="8"/>
      <c r="AF135" s="8"/>
      <c r="AG135" s="8"/>
      <c r="AH135" s="8"/>
      <c r="AI135" s="8"/>
      <c r="AJ135" s="8"/>
      <c r="AK135" s="8"/>
      <c r="AL135" s="8"/>
      <c r="AM135" s="8"/>
      <c r="AN135" s="8"/>
      <c r="AO135" s="8"/>
      <c r="AP135" s="8"/>
      <c r="AQ135" s="8"/>
      <c r="AR135" s="8"/>
      <c r="AS135" s="8"/>
    </row>
    <row r="136" spans="1:45" ht="21.75" customHeight="1" x14ac:dyDescent="0.45">
      <c r="A136" s="1" t="s">
        <v>1435</v>
      </c>
      <c r="B136" s="2" t="s">
        <v>1436</v>
      </c>
      <c r="C136" s="2" t="s">
        <v>1434</v>
      </c>
      <c r="D136" s="2" t="s">
        <v>1437</v>
      </c>
      <c r="E136" s="2" t="s">
        <v>144</v>
      </c>
      <c r="F136" s="2" t="s">
        <v>144</v>
      </c>
      <c r="G136" s="2"/>
      <c r="H136" s="2" t="s">
        <v>1243</v>
      </c>
      <c r="I136" s="2" t="s">
        <v>1243</v>
      </c>
      <c r="J136" s="2" t="s">
        <v>1243</v>
      </c>
      <c r="K136" s="2" t="s">
        <v>1243</v>
      </c>
      <c r="L136" s="23">
        <v>54.59</v>
      </c>
      <c r="M136" s="23">
        <v>-1.1299999999999999</v>
      </c>
      <c r="N136" s="16">
        <v>350000</v>
      </c>
      <c r="O136" s="16">
        <v>350000</v>
      </c>
      <c r="P136" s="2" t="s">
        <v>53</v>
      </c>
      <c r="Q136" s="2" t="s">
        <v>53</v>
      </c>
      <c r="R136" s="2">
        <v>2024</v>
      </c>
      <c r="S136" s="2"/>
      <c r="T136" s="2" t="s">
        <v>98</v>
      </c>
      <c r="U136" s="2"/>
      <c r="V136" s="2"/>
      <c r="W136" s="2" t="s">
        <v>1080</v>
      </c>
      <c r="X136" s="4"/>
      <c r="Y136" s="4"/>
      <c r="Z136" s="4"/>
      <c r="AA136" s="4"/>
      <c r="AB136" s="4"/>
      <c r="AC136" s="4"/>
      <c r="AD136" s="4"/>
      <c r="AE136" s="4"/>
      <c r="AF136" s="4"/>
      <c r="AG136" s="4"/>
      <c r="AH136" s="4"/>
      <c r="AI136" s="4"/>
      <c r="AJ136" s="4"/>
      <c r="AK136" s="4"/>
      <c r="AL136" s="4"/>
      <c r="AM136" s="4"/>
      <c r="AN136" s="4"/>
      <c r="AO136" s="4"/>
      <c r="AP136" s="4"/>
      <c r="AQ136" s="4"/>
      <c r="AR136" s="4"/>
      <c r="AS136" s="4"/>
    </row>
    <row r="137" spans="1:45" ht="32.25" customHeight="1" x14ac:dyDescent="0.45">
      <c r="A137" s="5" t="s">
        <v>1438</v>
      </c>
      <c r="B137" s="6" t="s">
        <v>1439</v>
      </c>
      <c r="C137" s="6" t="s">
        <v>1404</v>
      </c>
      <c r="D137" s="6" t="s">
        <v>1440</v>
      </c>
      <c r="E137" s="6" t="s">
        <v>144</v>
      </c>
      <c r="F137" s="6" t="s">
        <v>144</v>
      </c>
      <c r="G137" s="6"/>
      <c r="H137" s="6" t="s">
        <v>1243</v>
      </c>
      <c r="I137" s="6" t="s">
        <v>1243</v>
      </c>
      <c r="J137" s="6" t="s">
        <v>1243</v>
      </c>
      <c r="K137" s="6" t="s">
        <v>1243</v>
      </c>
      <c r="L137" s="24">
        <v>51.37</v>
      </c>
      <c r="M137" s="24">
        <v>0.76</v>
      </c>
      <c r="N137" s="16">
        <v>590000</v>
      </c>
      <c r="O137" s="16">
        <v>590000</v>
      </c>
      <c r="P137" s="6" t="s">
        <v>75</v>
      </c>
      <c r="Q137" s="6" t="s">
        <v>75</v>
      </c>
      <c r="R137" s="6"/>
      <c r="S137" s="6"/>
      <c r="T137" s="6" t="s">
        <v>98</v>
      </c>
      <c r="U137" s="6"/>
      <c r="V137" s="6"/>
      <c r="W137" s="7" t="s">
        <v>1441</v>
      </c>
      <c r="X137" s="8"/>
      <c r="Y137" s="8"/>
      <c r="Z137" s="8"/>
      <c r="AA137" s="8"/>
      <c r="AB137" s="8"/>
      <c r="AC137" s="8"/>
      <c r="AD137" s="8"/>
      <c r="AE137" s="8"/>
      <c r="AF137" s="8"/>
      <c r="AG137" s="8"/>
      <c r="AH137" s="8"/>
      <c r="AI137" s="8"/>
      <c r="AJ137" s="8"/>
      <c r="AK137" s="8"/>
      <c r="AL137" s="8"/>
      <c r="AM137" s="8"/>
      <c r="AN137" s="8"/>
      <c r="AO137" s="8"/>
      <c r="AP137" s="8"/>
      <c r="AQ137" s="8"/>
      <c r="AR137" s="8"/>
      <c r="AS137" s="8"/>
    </row>
    <row r="138" spans="1:45" ht="42.75" customHeight="1" x14ac:dyDescent="0.45">
      <c r="A138" s="1" t="s">
        <v>1442</v>
      </c>
      <c r="B138" s="2" t="s">
        <v>1443</v>
      </c>
      <c r="C138" s="2" t="s">
        <v>1444</v>
      </c>
      <c r="D138" s="2" t="s">
        <v>1445</v>
      </c>
      <c r="E138" s="2" t="s">
        <v>144</v>
      </c>
      <c r="F138" s="2" t="s">
        <v>144</v>
      </c>
      <c r="G138" s="2"/>
      <c r="H138" s="2" t="s">
        <v>1243</v>
      </c>
      <c r="I138" s="2" t="s">
        <v>1243</v>
      </c>
      <c r="J138" s="2" t="s">
        <v>1243</v>
      </c>
      <c r="K138" s="2" t="s">
        <v>1243</v>
      </c>
      <c r="L138" s="23">
        <v>54.61</v>
      </c>
      <c r="M138" s="23">
        <v>-1.18</v>
      </c>
      <c r="N138" s="16">
        <v>760000</v>
      </c>
      <c r="O138" s="16">
        <v>760000</v>
      </c>
      <c r="P138" s="2" t="s">
        <v>75</v>
      </c>
      <c r="Q138" s="2" t="s">
        <v>75</v>
      </c>
      <c r="R138" s="2"/>
      <c r="S138" s="2"/>
      <c r="T138" s="2" t="s">
        <v>98</v>
      </c>
      <c r="U138" s="2"/>
      <c r="V138" s="2"/>
      <c r="W138" s="3" t="s">
        <v>1446</v>
      </c>
      <c r="X138" s="4"/>
      <c r="Y138" s="4"/>
      <c r="Z138" s="4"/>
      <c r="AA138" s="4"/>
      <c r="AB138" s="4"/>
      <c r="AC138" s="4"/>
      <c r="AD138" s="4"/>
      <c r="AE138" s="4"/>
      <c r="AF138" s="4"/>
      <c r="AG138" s="4"/>
      <c r="AH138" s="4"/>
      <c r="AI138" s="4"/>
      <c r="AJ138" s="4"/>
      <c r="AK138" s="4"/>
      <c r="AL138" s="4"/>
      <c r="AM138" s="4"/>
      <c r="AN138" s="4"/>
      <c r="AO138" s="4"/>
      <c r="AP138" s="4"/>
      <c r="AQ138" s="4"/>
      <c r="AR138" s="4"/>
      <c r="AS138" s="4"/>
    </row>
    <row r="139" spans="1:45" ht="32.25" customHeight="1" x14ac:dyDescent="0.45">
      <c r="A139" s="5" t="s">
        <v>307</v>
      </c>
      <c r="B139" s="6" t="s">
        <v>308</v>
      </c>
      <c r="C139" s="6" t="s">
        <v>309</v>
      </c>
      <c r="D139" s="6" t="s">
        <v>310</v>
      </c>
      <c r="E139" s="6" t="s">
        <v>311</v>
      </c>
      <c r="F139" s="6" t="s">
        <v>312</v>
      </c>
      <c r="G139" s="6"/>
      <c r="H139" s="6" t="s">
        <v>51</v>
      </c>
      <c r="I139" s="6" t="s">
        <v>51</v>
      </c>
      <c r="J139" s="6" t="s">
        <v>157</v>
      </c>
      <c r="K139" s="6" t="s">
        <v>157</v>
      </c>
      <c r="L139" s="24">
        <v>38.129280582432798</v>
      </c>
      <c r="M139" s="24">
        <v>23.529321011271499</v>
      </c>
      <c r="N139" s="16">
        <v>1900000</v>
      </c>
      <c r="O139" s="16">
        <v>1900000</v>
      </c>
      <c r="P139" s="6" t="s">
        <v>53</v>
      </c>
      <c r="Q139" s="6" t="s">
        <v>53</v>
      </c>
      <c r="R139" s="6">
        <v>2023</v>
      </c>
      <c r="S139" s="6"/>
      <c r="T139" s="6" t="s">
        <v>54</v>
      </c>
      <c r="U139" s="6" t="s">
        <v>167</v>
      </c>
      <c r="V139" s="6" t="s">
        <v>279</v>
      </c>
      <c r="W139" s="7" t="s">
        <v>313</v>
      </c>
      <c r="X139" s="8"/>
      <c r="Y139" s="8"/>
      <c r="Z139" s="8"/>
      <c r="AA139" s="8"/>
      <c r="AB139" s="8"/>
      <c r="AC139" s="8"/>
      <c r="AD139" s="8"/>
      <c r="AE139" s="8"/>
      <c r="AF139" s="8"/>
      <c r="AG139" s="8"/>
      <c r="AH139" s="8"/>
      <c r="AI139" s="8"/>
      <c r="AJ139" s="8"/>
      <c r="AK139" s="8"/>
      <c r="AL139" s="8"/>
      <c r="AM139" s="8"/>
      <c r="AN139" s="8"/>
      <c r="AO139" s="8"/>
      <c r="AP139" s="8"/>
      <c r="AQ139" s="8"/>
      <c r="AR139" s="8"/>
      <c r="AS139" s="8"/>
    </row>
    <row r="140" spans="1:45" ht="32.25" customHeight="1" x14ac:dyDescent="0.45">
      <c r="A140" s="1" t="s">
        <v>314</v>
      </c>
      <c r="B140" s="2" t="s">
        <v>315</v>
      </c>
      <c r="C140" s="2" t="s">
        <v>316</v>
      </c>
      <c r="D140" s="2" t="s">
        <v>317</v>
      </c>
      <c r="E140" s="2" t="s">
        <v>311</v>
      </c>
      <c r="F140" s="2" t="s">
        <v>318</v>
      </c>
      <c r="G140" s="2"/>
      <c r="H140" s="2" t="s">
        <v>51</v>
      </c>
      <c r="I140" s="2" t="s">
        <v>51</v>
      </c>
      <c r="J140" s="2" t="s">
        <v>157</v>
      </c>
      <c r="K140" s="2" t="s">
        <v>157</v>
      </c>
      <c r="L140" s="23">
        <v>38.379305849449899</v>
      </c>
      <c r="M140" s="23">
        <v>24.065335357766099</v>
      </c>
      <c r="N140" s="16">
        <v>2000000</v>
      </c>
      <c r="O140" s="16" t="s">
        <v>319</v>
      </c>
      <c r="P140" s="2" t="s">
        <v>65</v>
      </c>
      <c r="Q140" s="2" t="s">
        <v>66</v>
      </c>
      <c r="R140" s="2">
        <v>2023</v>
      </c>
      <c r="S140" s="2">
        <v>2029</v>
      </c>
      <c r="T140" s="2" t="s">
        <v>54</v>
      </c>
      <c r="U140" s="2" t="s">
        <v>320</v>
      </c>
      <c r="V140" s="2"/>
      <c r="W140" s="3" t="s">
        <v>321</v>
      </c>
      <c r="X140" s="4"/>
      <c r="Y140" s="4"/>
      <c r="Z140" s="4"/>
      <c r="AA140" s="4"/>
      <c r="AB140" s="4"/>
      <c r="AC140" s="4"/>
      <c r="AD140" s="4"/>
      <c r="AE140" s="4"/>
      <c r="AF140" s="4"/>
      <c r="AG140" s="4"/>
      <c r="AH140" s="4"/>
      <c r="AI140" s="4"/>
      <c r="AJ140" s="4"/>
      <c r="AK140" s="4"/>
      <c r="AL140" s="4"/>
      <c r="AM140" s="4"/>
      <c r="AN140" s="4"/>
      <c r="AO140" s="4"/>
      <c r="AP140" s="4"/>
      <c r="AQ140" s="4"/>
      <c r="AR140" s="4"/>
      <c r="AS140" s="4"/>
    </row>
    <row r="141" spans="1:45" ht="189" customHeight="1" x14ac:dyDescent="0.45">
      <c r="A141" s="1" t="s">
        <v>422</v>
      </c>
      <c r="B141" s="2" t="s">
        <v>423</v>
      </c>
      <c r="C141" s="2" t="s">
        <v>424</v>
      </c>
      <c r="D141" s="2" t="s">
        <v>425</v>
      </c>
      <c r="E141" s="2" t="s">
        <v>311</v>
      </c>
      <c r="F141" s="2" t="s">
        <v>426</v>
      </c>
      <c r="G141" s="2"/>
      <c r="H141" s="2" t="s">
        <v>420</v>
      </c>
      <c r="I141" s="2" t="s">
        <v>420</v>
      </c>
      <c r="J141" s="2" t="s">
        <v>420</v>
      </c>
      <c r="K141" s="2" t="s">
        <v>420</v>
      </c>
      <c r="L141" s="23">
        <v>40.962966850711098</v>
      </c>
      <c r="M141" s="23">
        <v>24.537444727727198</v>
      </c>
      <c r="N141" s="16">
        <v>100000</v>
      </c>
      <c r="O141" s="16">
        <v>100000</v>
      </c>
      <c r="P141" s="2" t="s">
        <v>75</v>
      </c>
      <c r="Q141" s="2" t="s">
        <v>75</v>
      </c>
      <c r="R141" s="2">
        <v>2024</v>
      </c>
      <c r="S141" s="2">
        <v>2026</v>
      </c>
      <c r="T141" s="2" t="s">
        <v>54</v>
      </c>
      <c r="U141" s="2"/>
      <c r="V141" s="2"/>
      <c r="W141" s="3" t="s">
        <v>427</v>
      </c>
      <c r="X141" s="4"/>
      <c r="Y141" s="4"/>
      <c r="Z141" s="4"/>
      <c r="AA141" s="4"/>
      <c r="AB141" s="4"/>
      <c r="AC141" s="4"/>
      <c r="AD141" s="4"/>
      <c r="AE141" s="4"/>
      <c r="AF141" s="4"/>
      <c r="AG141" s="4"/>
      <c r="AH141" s="4"/>
      <c r="AI141" s="4"/>
      <c r="AJ141" s="4"/>
      <c r="AK141" s="4"/>
      <c r="AL141" s="4"/>
      <c r="AM141" s="4"/>
      <c r="AN141" s="4"/>
      <c r="AO141" s="4"/>
      <c r="AP141" s="4"/>
      <c r="AQ141" s="4"/>
      <c r="AR141" s="4"/>
      <c r="AS141" s="4"/>
    </row>
    <row r="142" spans="1:45" ht="21.75" customHeight="1" x14ac:dyDescent="0.45">
      <c r="A142" s="5" t="s">
        <v>494</v>
      </c>
      <c r="B142" s="6" t="s">
        <v>495</v>
      </c>
      <c r="C142" s="6" t="s">
        <v>496</v>
      </c>
      <c r="D142" s="6" t="s">
        <v>497</v>
      </c>
      <c r="E142" s="6" t="s">
        <v>311</v>
      </c>
      <c r="F142" s="6" t="s">
        <v>498</v>
      </c>
      <c r="G142" s="6"/>
      <c r="H142" s="6" t="s">
        <v>51</v>
      </c>
      <c r="I142" s="6" t="s">
        <v>51</v>
      </c>
      <c r="J142" s="6" t="s">
        <v>476</v>
      </c>
      <c r="K142" s="6" t="s">
        <v>476</v>
      </c>
      <c r="L142" s="24">
        <v>37.920051792975002</v>
      </c>
      <c r="M142" s="24">
        <v>23.076923566290102</v>
      </c>
      <c r="N142" s="16">
        <v>1200000</v>
      </c>
      <c r="O142" s="16">
        <v>1200000</v>
      </c>
      <c r="P142" s="6" t="s">
        <v>65</v>
      </c>
      <c r="Q142" s="6" t="s">
        <v>499</v>
      </c>
      <c r="R142" s="6">
        <v>2024</v>
      </c>
      <c r="S142" s="6">
        <v>2028</v>
      </c>
      <c r="T142" s="6" t="s">
        <v>54</v>
      </c>
      <c r="U142" s="6" t="s">
        <v>500</v>
      </c>
      <c r="V142" s="6"/>
      <c r="W142" s="7" t="s">
        <v>501</v>
      </c>
      <c r="X142" s="8"/>
      <c r="Y142" s="8"/>
      <c r="Z142" s="8"/>
      <c r="AA142" s="8"/>
      <c r="AB142" s="8"/>
      <c r="AC142" s="8"/>
      <c r="AD142" s="8"/>
      <c r="AE142" s="8"/>
      <c r="AF142" s="8"/>
      <c r="AG142" s="8"/>
      <c r="AH142" s="8"/>
      <c r="AI142" s="8"/>
      <c r="AJ142" s="8"/>
      <c r="AK142" s="8"/>
      <c r="AL142" s="8"/>
      <c r="AM142" s="8"/>
      <c r="AN142" s="8"/>
      <c r="AO142" s="8"/>
      <c r="AP142" s="8"/>
      <c r="AQ142" s="8"/>
      <c r="AR142" s="8"/>
      <c r="AS142" s="8"/>
    </row>
    <row r="143" spans="1:45" ht="32.25" customHeight="1" x14ac:dyDescent="0.45">
      <c r="A143" s="1" t="s">
        <v>891</v>
      </c>
      <c r="B143" s="2" t="s">
        <v>892</v>
      </c>
      <c r="C143" s="2" t="s">
        <v>893</v>
      </c>
      <c r="D143" s="2" t="s">
        <v>894</v>
      </c>
      <c r="E143" s="2" t="s">
        <v>311</v>
      </c>
      <c r="F143" s="2" t="s">
        <v>311</v>
      </c>
      <c r="G143" s="2"/>
      <c r="H143" s="2" t="s">
        <v>844</v>
      </c>
      <c r="I143" s="2" t="s">
        <v>844</v>
      </c>
      <c r="J143" s="2" t="s">
        <v>844</v>
      </c>
      <c r="K143" s="2" t="s">
        <v>844</v>
      </c>
      <c r="L143" s="23">
        <v>40.800060000000002</v>
      </c>
      <c r="M143" s="23">
        <v>24.49006</v>
      </c>
      <c r="N143" s="16">
        <v>2500000</v>
      </c>
      <c r="O143" s="16">
        <v>2500000</v>
      </c>
      <c r="P143" s="2" t="s">
        <v>65</v>
      </c>
      <c r="Q143" s="2" t="s">
        <v>184</v>
      </c>
      <c r="R143" s="2">
        <v>2021</v>
      </c>
      <c r="S143" s="2"/>
      <c r="T143" s="2" t="s">
        <v>54</v>
      </c>
      <c r="U143" s="2"/>
      <c r="V143" s="2"/>
      <c r="W143" s="3" t="s">
        <v>895</v>
      </c>
      <c r="X143" s="4"/>
      <c r="Y143" s="4"/>
      <c r="Z143" s="4"/>
      <c r="AA143" s="4"/>
      <c r="AB143" s="4"/>
      <c r="AC143" s="4"/>
      <c r="AD143" s="4"/>
      <c r="AE143" s="4"/>
      <c r="AF143" s="4"/>
      <c r="AG143" s="4"/>
      <c r="AH143" s="4"/>
      <c r="AI143" s="4"/>
      <c r="AJ143" s="4"/>
      <c r="AK143" s="4"/>
      <c r="AL143" s="4"/>
      <c r="AM143" s="4"/>
      <c r="AN143" s="4"/>
      <c r="AO143" s="4"/>
      <c r="AP143" s="4"/>
      <c r="AQ143" s="4"/>
      <c r="AR143" s="4"/>
      <c r="AS143" s="4"/>
    </row>
    <row r="144" spans="1:45" ht="63.75" customHeight="1" x14ac:dyDescent="0.45">
      <c r="A144" s="5" t="s">
        <v>1143</v>
      </c>
      <c r="B144" s="6" t="s">
        <v>1144</v>
      </c>
      <c r="C144" s="6" t="s">
        <v>1145</v>
      </c>
      <c r="D144" s="6" t="s">
        <v>1146</v>
      </c>
      <c r="E144" s="6" t="s">
        <v>311</v>
      </c>
      <c r="F144" s="6" t="s">
        <v>1147</v>
      </c>
      <c r="G144" s="6"/>
      <c r="H144" s="6" t="s">
        <v>51</v>
      </c>
      <c r="I144" s="6" t="s">
        <v>51</v>
      </c>
      <c r="J144" s="6" t="s">
        <v>1033</v>
      </c>
      <c r="K144" s="6" t="s">
        <v>1092</v>
      </c>
      <c r="L144" s="24">
        <v>37.969911000000003</v>
      </c>
      <c r="M144" s="24">
        <v>23.403010999999999</v>
      </c>
      <c r="N144" s="16">
        <v>0</v>
      </c>
      <c r="O144" s="16" t="s">
        <v>176</v>
      </c>
      <c r="P144" s="6" t="s">
        <v>65</v>
      </c>
      <c r="Q144" s="6" t="s">
        <v>184</v>
      </c>
      <c r="R144" s="6">
        <v>2024</v>
      </c>
      <c r="S144" s="6">
        <v>2030</v>
      </c>
      <c r="T144" s="6" t="s">
        <v>54</v>
      </c>
      <c r="U144" s="6" t="s">
        <v>1148</v>
      </c>
      <c r="V144" s="6"/>
      <c r="W144" s="6"/>
      <c r="X144" s="8"/>
      <c r="Y144" s="8"/>
      <c r="Z144" s="8"/>
      <c r="AA144" s="8"/>
      <c r="AB144" s="8"/>
      <c r="AC144" s="8"/>
      <c r="AD144" s="8"/>
      <c r="AE144" s="8"/>
      <c r="AF144" s="8"/>
      <c r="AG144" s="8"/>
      <c r="AH144" s="8"/>
      <c r="AI144" s="8"/>
      <c r="AJ144" s="8"/>
      <c r="AK144" s="8"/>
      <c r="AL144" s="8"/>
      <c r="AM144" s="8"/>
      <c r="AN144" s="8"/>
      <c r="AO144" s="8"/>
      <c r="AP144" s="8"/>
      <c r="AQ144" s="8"/>
      <c r="AR144" s="8"/>
      <c r="AS144" s="8"/>
    </row>
    <row r="145" spans="1:45" ht="32.25" customHeight="1" x14ac:dyDescent="0.45">
      <c r="A145" s="1" t="s">
        <v>1149</v>
      </c>
      <c r="B145" s="2" t="s">
        <v>1150</v>
      </c>
      <c r="C145" s="2" t="s">
        <v>1151</v>
      </c>
      <c r="D145" s="2" t="s">
        <v>1152</v>
      </c>
      <c r="E145" s="2" t="s">
        <v>311</v>
      </c>
      <c r="F145" s="2" t="s">
        <v>1153</v>
      </c>
      <c r="G145" s="2"/>
      <c r="H145" s="2" t="s">
        <v>51</v>
      </c>
      <c r="I145" s="2" t="s">
        <v>51</v>
      </c>
      <c r="J145" s="2" t="s">
        <v>1033</v>
      </c>
      <c r="K145" s="2" t="s">
        <v>1154</v>
      </c>
      <c r="L145" s="23">
        <v>40.954056999999999</v>
      </c>
      <c r="M145" s="23">
        <v>24.479136</v>
      </c>
      <c r="N145" s="16">
        <v>1000000</v>
      </c>
      <c r="O145" s="16">
        <v>3000000</v>
      </c>
      <c r="P145" s="2" t="s">
        <v>65</v>
      </c>
      <c r="Q145" s="2" t="s">
        <v>1155</v>
      </c>
      <c r="R145" s="2">
        <v>2021</v>
      </c>
      <c r="S145" s="2">
        <v>2027</v>
      </c>
      <c r="T145" s="2" t="s">
        <v>54</v>
      </c>
      <c r="U145" s="2" t="s">
        <v>1156</v>
      </c>
      <c r="V145" s="2"/>
      <c r="W145" s="3" t="s">
        <v>1157</v>
      </c>
      <c r="X145" s="4"/>
      <c r="Y145" s="4"/>
      <c r="Z145" s="4"/>
      <c r="AA145" s="4"/>
      <c r="AB145" s="4"/>
      <c r="AC145" s="4"/>
      <c r="AD145" s="4"/>
      <c r="AE145" s="4"/>
      <c r="AF145" s="4"/>
      <c r="AG145" s="4"/>
      <c r="AH145" s="4"/>
      <c r="AI145" s="4"/>
      <c r="AJ145" s="4"/>
      <c r="AK145" s="4"/>
      <c r="AL145" s="4"/>
      <c r="AM145" s="4"/>
      <c r="AN145" s="4"/>
      <c r="AO145" s="4"/>
      <c r="AP145" s="4"/>
      <c r="AQ145" s="4"/>
      <c r="AR145" s="4"/>
      <c r="AS145" s="4"/>
    </row>
    <row r="146" spans="1:45" ht="32.25" customHeight="1" x14ac:dyDescent="0.45">
      <c r="A146" s="5" t="s">
        <v>58</v>
      </c>
      <c r="B146" s="6" t="s">
        <v>59</v>
      </c>
      <c r="C146" s="6" t="s">
        <v>60</v>
      </c>
      <c r="D146" s="6" t="s">
        <v>48</v>
      </c>
      <c r="E146" s="6" t="s">
        <v>61</v>
      </c>
      <c r="F146" s="6" t="s">
        <v>62</v>
      </c>
      <c r="G146" s="6"/>
      <c r="H146" s="6" t="s">
        <v>51</v>
      </c>
      <c r="I146" s="6" t="s">
        <v>51</v>
      </c>
      <c r="J146" s="6" t="s">
        <v>63</v>
      </c>
      <c r="K146" s="6" t="s">
        <v>64</v>
      </c>
      <c r="L146" s="24">
        <v>45.453651000000001</v>
      </c>
      <c r="M146" s="24">
        <v>16.407502999999998</v>
      </c>
      <c r="N146" s="16">
        <v>52000</v>
      </c>
      <c r="O146" s="16">
        <v>52000</v>
      </c>
      <c r="P146" s="6" t="s">
        <v>65</v>
      </c>
      <c r="Q146" s="6" t="s">
        <v>66</v>
      </c>
      <c r="R146" s="6">
        <v>2020</v>
      </c>
      <c r="S146" s="6"/>
      <c r="T146" s="6" t="s">
        <v>54</v>
      </c>
      <c r="U146" s="6" t="s">
        <v>67</v>
      </c>
      <c r="V146" s="6"/>
      <c r="W146" s="7" t="s">
        <v>68</v>
      </c>
      <c r="X146" s="8"/>
      <c r="Y146" s="8"/>
      <c r="Z146" s="8"/>
      <c r="AA146" s="8"/>
      <c r="AB146" s="8"/>
      <c r="AC146" s="8"/>
      <c r="AD146" s="8"/>
      <c r="AE146" s="8"/>
      <c r="AF146" s="8"/>
      <c r="AG146" s="8"/>
      <c r="AH146" s="8"/>
      <c r="AI146" s="8"/>
      <c r="AJ146" s="8"/>
      <c r="AK146" s="8"/>
      <c r="AL146" s="8"/>
      <c r="AM146" s="8"/>
      <c r="AN146" s="8"/>
      <c r="AO146" s="8"/>
      <c r="AP146" s="8"/>
      <c r="AQ146" s="8"/>
      <c r="AR146" s="8"/>
      <c r="AS146" s="8"/>
    </row>
    <row r="147" spans="1:45" ht="42.75" customHeight="1" x14ac:dyDescent="0.45">
      <c r="A147" s="5" t="s">
        <v>192</v>
      </c>
      <c r="B147" s="6" t="s">
        <v>193</v>
      </c>
      <c r="C147" s="6" t="s">
        <v>194</v>
      </c>
      <c r="D147" s="6" t="s">
        <v>195</v>
      </c>
      <c r="E147" s="6" t="s">
        <v>61</v>
      </c>
      <c r="F147" s="6" t="s">
        <v>196</v>
      </c>
      <c r="G147" s="6"/>
      <c r="H147" s="6" t="s">
        <v>51</v>
      </c>
      <c r="I147" s="6" t="s">
        <v>51</v>
      </c>
      <c r="J147" s="6" t="s">
        <v>157</v>
      </c>
      <c r="K147" s="6" t="s">
        <v>157</v>
      </c>
      <c r="L147" s="24">
        <v>45.451873698991797</v>
      </c>
      <c r="M147" s="24">
        <v>18.039718483698898</v>
      </c>
      <c r="N147" s="16">
        <v>700000</v>
      </c>
      <c r="O147" s="16">
        <v>700000</v>
      </c>
      <c r="P147" s="6" t="s">
        <v>75</v>
      </c>
      <c r="Q147" s="6" t="s">
        <v>75</v>
      </c>
      <c r="R147" s="6">
        <v>2023</v>
      </c>
      <c r="S147" s="6">
        <v>2028</v>
      </c>
      <c r="T147" s="6" t="s">
        <v>54</v>
      </c>
      <c r="U147" s="6"/>
      <c r="V147" s="6" t="s">
        <v>197</v>
      </c>
      <c r="W147" s="7" t="s">
        <v>198</v>
      </c>
      <c r="X147" s="8"/>
      <c r="Y147" s="8"/>
      <c r="Z147" s="8"/>
      <c r="AA147" s="8"/>
      <c r="AB147" s="8"/>
      <c r="AC147" s="8"/>
      <c r="AD147" s="8"/>
      <c r="AE147" s="8"/>
      <c r="AF147" s="8"/>
      <c r="AG147" s="8"/>
      <c r="AH147" s="8"/>
      <c r="AI147" s="8"/>
      <c r="AJ147" s="8"/>
      <c r="AK147" s="8"/>
      <c r="AL147" s="8"/>
      <c r="AM147" s="8"/>
      <c r="AN147" s="8"/>
      <c r="AO147" s="8"/>
      <c r="AP147" s="8"/>
      <c r="AQ147" s="8"/>
      <c r="AR147" s="8"/>
      <c r="AS147" s="8"/>
    </row>
    <row r="148" spans="1:45" ht="32.25" customHeight="1" x14ac:dyDescent="0.45">
      <c r="A148" s="1" t="s">
        <v>199</v>
      </c>
      <c r="B148" s="2" t="s">
        <v>200</v>
      </c>
      <c r="C148" s="2" t="s">
        <v>201</v>
      </c>
      <c r="D148" s="2" t="s">
        <v>202</v>
      </c>
      <c r="E148" s="2" t="s">
        <v>61</v>
      </c>
      <c r="F148" s="2" t="s">
        <v>203</v>
      </c>
      <c r="G148" s="2"/>
      <c r="H148" s="2" t="s">
        <v>51</v>
      </c>
      <c r="I148" s="2" t="s">
        <v>51</v>
      </c>
      <c r="J148" s="2" t="s">
        <v>157</v>
      </c>
      <c r="K148" s="2" t="s">
        <v>157</v>
      </c>
      <c r="L148" s="23">
        <v>44.967183249999998</v>
      </c>
      <c r="M148" s="23">
        <v>14.121842859999999</v>
      </c>
      <c r="N148" s="16">
        <v>367000</v>
      </c>
      <c r="O148" s="16">
        <v>367000</v>
      </c>
      <c r="P148" s="2" t="s">
        <v>65</v>
      </c>
      <c r="Q148" s="2" t="s">
        <v>65</v>
      </c>
      <c r="R148" s="2">
        <v>2023</v>
      </c>
      <c r="S148" s="2"/>
      <c r="T148" s="2" t="s">
        <v>54</v>
      </c>
      <c r="U148" s="2" t="s">
        <v>204</v>
      </c>
      <c r="V148" s="2"/>
      <c r="W148" s="3" t="s">
        <v>205</v>
      </c>
      <c r="X148" s="4"/>
      <c r="Y148" s="4"/>
      <c r="Z148" s="4"/>
      <c r="AA148" s="4"/>
      <c r="AB148" s="4"/>
      <c r="AC148" s="4"/>
      <c r="AD148" s="4"/>
      <c r="AE148" s="4"/>
      <c r="AF148" s="4"/>
      <c r="AG148" s="4"/>
      <c r="AH148" s="4"/>
      <c r="AI148" s="4"/>
      <c r="AJ148" s="4"/>
      <c r="AK148" s="4"/>
      <c r="AL148" s="4"/>
      <c r="AM148" s="4"/>
      <c r="AN148" s="4"/>
      <c r="AO148" s="4"/>
      <c r="AP148" s="4"/>
      <c r="AQ148" s="4"/>
      <c r="AR148" s="4"/>
      <c r="AS148" s="4"/>
    </row>
    <row r="149" spans="1:45" ht="21.75" customHeight="1" x14ac:dyDescent="0.45">
      <c r="A149" s="1" t="s">
        <v>698</v>
      </c>
      <c r="B149" s="2" t="s">
        <v>699</v>
      </c>
      <c r="C149" s="2" t="s">
        <v>700</v>
      </c>
      <c r="D149" s="2" t="s">
        <v>701</v>
      </c>
      <c r="E149" s="2" t="s">
        <v>61</v>
      </c>
      <c r="F149" s="2" t="s">
        <v>702</v>
      </c>
      <c r="G149" s="2"/>
      <c r="H149" s="2" t="s">
        <v>51</v>
      </c>
      <c r="I149" s="2" t="s">
        <v>51</v>
      </c>
      <c r="J149" s="2" t="s">
        <v>688</v>
      </c>
      <c r="K149" s="2" t="s">
        <v>703</v>
      </c>
      <c r="L149" s="23">
        <v>45.471111999999998</v>
      </c>
      <c r="M149" s="23">
        <v>16.794750000000001</v>
      </c>
      <c r="N149" s="16">
        <v>190000</v>
      </c>
      <c r="O149" s="16">
        <v>190000</v>
      </c>
      <c r="P149" s="2" t="s">
        <v>65</v>
      </c>
      <c r="Q149" s="2" t="s">
        <v>66</v>
      </c>
      <c r="R149" s="2">
        <v>2021</v>
      </c>
      <c r="S149" s="2"/>
      <c r="T149" s="2" t="s">
        <v>54</v>
      </c>
      <c r="U149" s="2" t="s">
        <v>67</v>
      </c>
      <c r="V149" s="2"/>
      <c r="W149" s="2"/>
      <c r="X149" s="4"/>
      <c r="Y149" s="4"/>
      <c r="Z149" s="4"/>
      <c r="AA149" s="4"/>
      <c r="AB149" s="4"/>
      <c r="AC149" s="4"/>
      <c r="AD149" s="4"/>
      <c r="AE149" s="4"/>
      <c r="AF149" s="4"/>
      <c r="AG149" s="4"/>
      <c r="AH149" s="4"/>
      <c r="AI149" s="4"/>
      <c r="AJ149" s="4"/>
      <c r="AK149" s="4"/>
      <c r="AL149" s="4"/>
      <c r="AM149" s="4"/>
      <c r="AN149" s="4"/>
      <c r="AO149" s="4"/>
      <c r="AP149" s="4"/>
      <c r="AQ149" s="4"/>
      <c r="AR149" s="4"/>
      <c r="AS149" s="4"/>
    </row>
    <row r="150" spans="1:45" ht="42.75" customHeight="1" x14ac:dyDescent="0.45">
      <c r="A150" s="1" t="s">
        <v>839</v>
      </c>
      <c r="B150" s="2" t="s">
        <v>840</v>
      </c>
      <c r="C150" s="2" t="s">
        <v>841</v>
      </c>
      <c r="D150" s="2" t="s">
        <v>842</v>
      </c>
      <c r="E150" s="2" t="s">
        <v>61</v>
      </c>
      <c r="F150" s="2" t="s">
        <v>843</v>
      </c>
      <c r="G150" s="2"/>
      <c r="H150" s="2" t="s">
        <v>844</v>
      </c>
      <c r="I150" s="2" t="s">
        <v>844</v>
      </c>
      <c r="J150" s="2" t="s">
        <v>844</v>
      </c>
      <c r="K150" s="2" t="s">
        <v>844</v>
      </c>
      <c r="L150" s="23">
        <v>45.708134003847903</v>
      </c>
      <c r="M150" s="23">
        <v>18.1164935318494</v>
      </c>
      <c r="N150" s="16">
        <v>630000</v>
      </c>
      <c r="O150" s="16">
        <v>630000</v>
      </c>
      <c r="P150" s="2" t="s">
        <v>75</v>
      </c>
      <c r="Q150" s="2" t="s">
        <v>75</v>
      </c>
      <c r="R150" s="2">
        <v>2022</v>
      </c>
      <c r="S150" s="2"/>
      <c r="T150" s="2" t="s">
        <v>54</v>
      </c>
      <c r="U150" s="2"/>
      <c r="V150" s="2" t="s">
        <v>107</v>
      </c>
      <c r="W150" s="2" t="s">
        <v>329</v>
      </c>
      <c r="X150" s="4"/>
      <c r="Y150" s="4"/>
      <c r="Z150" s="4"/>
      <c r="AA150" s="4"/>
      <c r="AB150" s="4"/>
      <c r="AC150" s="4"/>
      <c r="AD150" s="4"/>
      <c r="AE150" s="4"/>
      <c r="AF150" s="4"/>
      <c r="AG150" s="4"/>
      <c r="AH150" s="4"/>
      <c r="AI150" s="4"/>
      <c r="AJ150" s="4"/>
      <c r="AK150" s="4"/>
      <c r="AL150" s="4"/>
      <c r="AM150" s="4"/>
      <c r="AN150" s="4"/>
      <c r="AO150" s="4"/>
      <c r="AP150" s="4"/>
      <c r="AQ150" s="4"/>
      <c r="AR150" s="4"/>
      <c r="AS150" s="4"/>
    </row>
    <row r="151" spans="1:45" ht="53.25" customHeight="1" x14ac:dyDescent="0.45">
      <c r="A151" s="1" t="s">
        <v>69</v>
      </c>
      <c r="B151" s="2" t="s">
        <v>70</v>
      </c>
      <c r="C151" s="2" t="s">
        <v>71</v>
      </c>
      <c r="D151" s="2" t="s">
        <v>72</v>
      </c>
      <c r="E151" s="2" t="s">
        <v>73</v>
      </c>
      <c r="F151" s="2" t="s">
        <v>74</v>
      </c>
      <c r="G151" s="2"/>
      <c r="H151" s="2" t="s">
        <v>51</v>
      </c>
      <c r="I151" s="2" t="s">
        <v>51</v>
      </c>
      <c r="J151" s="2" t="s">
        <v>63</v>
      </c>
      <c r="K151" s="2" t="s">
        <v>64</v>
      </c>
      <c r="L151" s="23">
        <v>46.834644067469398</v>
      </c>
      <c r="M151" s="23">
        <v>18.9151575454949</v>
      </c>
      <c r="N151" s="16">
        <v>400000</v>
      </c>
      <c r="O151" s="16">
        <v>400000</v>
      </c>
      <c r="P151" s="2" t="s">
        <v>75</v>
      </c>
      <c r="Q151" s="2" t="s">
        <v>75</v>
      </c>
      <c r="R151" s="2">
        <v>2024</v>
      </c>
      <c r="S151" s="2"/>
      <c r="T151" s="2" t="s">
        <v>54</v>
      </c>
      <c r="U151" s="2" t="s">
        <v>76</v>
      </c>
      <c r="V151" s="2"/>
      <c r="W151" s="3" t="s">
        <v>77</v>
      </c>
      <c r="X151" s="4"/>
      <c r="Y151" s="4"/>
      <c r="Z151" s="4"/>
      <c r="AA151" s="4"/>
      <c r="AB151" s="4"/>
      <c r="AC151" s="4"/>
      <c r="AD151" s="4"/>
      <c r="AE151" s="4"/>
      <c r="AF151" s="4"/>
      <c r="AG151" s="4"/>
      <c r="AH151" s="4"/>
      <c r="AI151" s="4"/>
      <c r="AJ151" s="4"/>
      <c r="AK151" s="4"/>
      <c r="AL151" s="4"/>
      <c r="AM151" s="4"/>
      <c r="AN151" s="4"/>
      <c r="AO151" s="4"/>
      <c r="AP151" s="4"/>
      <c r="AQ151" s="4"/>
      <c r="AR151" s="4"/>
      <c r="AS151" s="4"/>
    </row>
    <row r="152" spans="1:45" ht="21.75" customHeight="1" x14ac:dyDescent="0.45">
      <c r="A152" s="5" t="s">
        <v>428</v>
      </c>
      <c r="B152" s="6" t="s">
        <v>429</v>
      </c>
      <c r="C152" s="6" t="s">
        <v>430</v>
      </c>
      <c r="D152" s="6" t="s">
        <v>431</v>
      </c>
      <c r="E152" s="6" t="s">
        <v>432</v>
      </c>
      <c r="F152" s="6" t="s">
        <v>433</v>
      </c>
      <c r="G152" s="6"/>
      <c r="H152" s="6" t="s">
        <v>420</v>
      </c>
      <c r="I152" s="6" t="s">
        <v>420</v>
      </c>
      <c r="J152" s="6" t="s">
        <v>420</v>
      </c>
      <c r="K152" s="6" t="s">
        <v>420</v>
      </c>
      <c r="L152" s="24">
        <v>64.797498614887502</v>
      </c>
      <c r="M152" s="24">
        <v>-18.328821711707398</v>
      </c>
      <c r="N152" s="16">
        <v>2000</v>
      </c>
      <c r="O152" s="16">
        <v>2000</v>
      </c>
      <c r="P152" s="6" t="s">
        <v>434</v>
      </c>
      <c r="Q152" s="6" t="s">
        <v>435</v>
      </c>
      <c r="R152" s="6">
        <v>2023</v>
      </c>
      <c r="S152" s="6"/>
      <c r="T152" s="6" t="s">
        <v>54</v>
      </c>
      <c r="U152" s="6"/>
      <c r="V152" s="6" t="s">
        <v>168</v>
      </c>
      <c r="W152" s="7" t="s">
        <v>436</v>
      </c>
      <c r="X152" s="8"/>
      <c r="Y152" s="8"/>
      <c r="Z152" s="8"/>
      <c r="AA152" s="8"/>
      <c r="AB152" s="8"/>
      <c r="AC152" s="8"/>
      <c r="AD152" s="8"/>
      <c r="AE152" s="8"/>
      <c r="AF152" s="8"/>
      <c r="AG152" s="8"/>
      <c r="AH152" s="8"/>
      <c r="AI152" s="8"/>
      <c r="AJ152" s="8"/>
      <c r="AK152" s="8"/>
      <c r="AL152" s="8"/>
      <c r="AM152" s="8"/>
      <c r="AN152" s="8"/>
      <c r="AO152" s="8"/>
      <c r="AP152" s="8"/>
      <c r="AQ152" s="8"/>
      <c r="AR152" s="8"/>
      <c r="AS152" s="8"/>
    </row>
    <row r="153" spans="1:45" ht="42.75" customHeight="1" x14ac:dyDescent="0.45">
      <c r="A153" s="1" t="s">
        <v>437</v>
      </c>
      <c r="B153" s="2" t="s">
        <v>438</v>
      </c>
      <c r="C153" s="2" t="s">
        <v>439</v>
      </c>
      <c r="D153" s="2"/>
      <c r="E153" s="2" t="s">
        <v>432</v>
      </c>
      <c r="F153" s="2" t="s">
        <v>433</v>
      </c>
      <c r="G153" s="2"/>
      <c r="H153" s="2" t="s">
        <v>420</v>
      </c>
      <c r="I153" s="2" t="s">
        <v>420</v>
      </c>
      <c r="J153" s="2" t="s">
        <v>420</v>
      </c>
      <c r="K153" s="2" t="s">
        <v>420</v>
      </c>
      <c r="L153" s="23">
        <v>64.797498614887502</v>
      </c>
      <c r="M153" s="23">
        <v>-18.328821711707398</v>
      </c>
      <c r="N153" s="16">
        <v>100000</v>
      </c>
      <c r="O153" s="16">
        <v>100000</v>
      </c>
      <c r="P153" s="2" t="s">
        <v>434</v>
      </c>
      <c r="Q153" s="2" t="s">
        <v>435</v>
      </c>
      <c r="R153" s="2">
        <v>2023</v>
      </c>
      <c r="S153" s="2"/>
      <c r="T153" s="2" t="s">
        <v>54</v>
      </c>
      <c r="U153" s="2"/>
      <c r="V153" s="2" t="s">
        <v>168</v>
      </c>
      <c r="W153" s="3" t="s">
        <v>440</v>
      </c>
      <c r="X153" s="4"/>
      <c r="Y153" s="4"/>
      <c r="Z153" s="4"/>
      <c r="AA153" s="4"/>
      <c r="AB153" s="4"/>
      <c r="AC153" s="4"/>
      <c r="AD153" s="4"/>
      <c r="AE153" s="4"/>
      <c r="AF153" s="4"/>
      <c r="AG153" s="4"/>
      <c r="AH153" s="4"/>
      <c r="AI153" s="4"/>
      <c r="AJ153" s="4"/>
      <c r="AK153" s="4"/>
      <c r="AL153" s="4"/>
      <c r="AM153" s="4"/>
      <c r="AN153" s="4"/>
      <c r="AO153" s="4"/>
      <c r="AP153" s="4"/>
      <c r="AQ153" s="4"/>
      <c r="AR153" s="4"/>
      <c r="AS153" s="4"/>
    </row>
    <row r="154" spans="1:45" ht="32.25" customHeight="1" x14ac:dyDescent="0.45">
      <c r="A154" s="5" t="s">
        <v>441</v>
      </c>
      <c r="B154" s="6" t="s">
        <v>442</v>
      </c>
      <c r="C154" s="6" t="s">
        <v>443</v>
      </c>
      <c r="D154" s="6" t="s">
        <v>444</v>
      </c>
      <c r="E154" s="6" t="s">
        <v>432</v>
      </c>
      <c r="F154" s="6" t="s">
        <v>445</v>
      </c>
      <c r="G154" s="6"/>
      <c r="H154" s="6" t="s">
        <v>420</v>
      </c>
      <c r="I154" s="6" t="s">
        <v>420</v>
      </c>
      <c r="J154" s="6" t="s">
        <v>420</v>
      </c>
      <c r="K154" s="6" t="s">
        <v>446</v>
      </c>
      <c r="L154" s="24">
        <v>64.049421098123503</v>
      </c>
      <c r="M154" s="24">
        <v>-21.431600892997601</v>
      </c>
      <c r="N154" s="16">
        <v>36000</v>
      </c>
      <c r="O154" s="16">
        <v>36000</v>
      </c>
      <c r="P154" s="6" t="s">
        <v>434</v>
      </c>
      <c r="Q154" s="6" t="s">
        <v>435</v>
      </c>
      <c r="R154" s="6">
        <v>2021</v>
      </c>
      <c r="S154" s="6">
        <v>2024</v>
      </c>
      <c r="T154" s="6" t="s">
        <v>447</v>
      </c>
      <c r="U154" s="6"/>
      <c r="V154" s="6"/>
      <c r="W154" s="7" t="s">
        <v>448</v>
      </c>
      <c r="X154" s="8"/>
      <c r="Y154" s="8"/>
      <c r="Z154" s="8"/>
      <c r="AA154" s="8"/>
      <c r="AB154" s="8"/>
      <c r="AC154" s="8"/>
      <c r="AD154" s="8"/>
      <c r="AE154" s="8"/>
      <c r="AF154" s="8"/>
      <c r="AG154" s="8"/>
      <c r="AH154" s="8"/>
      <c r="AI154" s="8"/>
      <c r="AJ154" s="8"/>
      <c r="AK154" s="8"/>
      <c r="AL154" s="8"/>
      <c r="AM154" s="8"/>
      <c r="AN154" s="8"/>
      <c r="AO154" s="8"/>
      <c r="AP154" s="8"/>
      <c r="AQ154" s="8"/>
      <c r="AR154" s="8"/>
      <c r="AS154" s="8"/>
    </row>
    <row r="155" spans="1:45" ht="32.25" customHeight="1" x14ac:dyDescent="0.45">
      <c r="A155" s="1" t="s">
        <v>736</v>
      </c>
      <c r="B155" s="2" t="s">
        <v>737</v>
      </c>
      <c r="C155" s="2" t="s">
        <v>738</v>
      </c>
      <c r="D155" s="2" t="s">
        <v>739</v>
      </c>
      <c r="E155" s="2" t="s">
        <v>432</v>
      </c>
      <c r="F155" s="2" t="s">
        <v>740</v>
      </c>
      <c r="G155" s="2"/>
      <c r="H155" s="2" t="s">
        <v>51</v>
      </c>
      <c r="I155" s="2" t="s">
        <v>51</v>
      </c>
      <c r="J155" s="2" t="s">
        <v>688</v>
      </c>
      <c r="K155" s="2" t="s">
        <v>741</v>
      </c>
      <c r="L155" s="23">
        <v>64.355999999999995</v>
      </c>
      <c r="M155" s="23">
        <v>-21.784600000000001</v>
      </c>
      <c r="N155" s="16">
        <v>0</v>
      </c>
      <c r="O155" s="16" t="s">
        <v>176</v>
      </c>
      <c r="P155" s="2" t="s">
        <v>434</v>
      </c>
      <c r="Q155" s="2" t="s">
        <v>435</v>
      </c>
      <c r="R155" s="2">
        <v>2021</v>
      </c>
      <c r="S155" s="2"/>
      <c r="T155" s="2" t="s">
        <v>54</v>
      </c>
      <c r="U155" s="2"/>
      <c r="V155" s="2"/>
      <c r="W155" s="3" t="s">
        <v>742</v>
      </c>
      <c r="X155" s="4"/>
      <c r="Y155" s="4"/>
      <c r="Z155" s="4"/>
      <c r="AA155" s="4"/>
      <c r="AB155" s="4"/>
      <c r="AC155" s="4"/>
      <c r="AD155" s="4"/>
      <c r="AE155" s="4"/>
      <c r="AF155" s="4"/>
      <c r="AG155" s="4"/>
      <c r="AH155" s="4"/>
      <c r="AI155" s="4"/>
      <c r="AJ155" s="4"/>
      <c r="AK155" s="4"/>
      <c r="AL155" s="4"/>
      <c r="AM155" s="4"/>
      <c r="AN155" s="4"/>
      <c r="AO155" s="4"/>
      <c r="AP155" s="4"/>
      <c r="AQ155" s="4"/>
      <c r="AR155" s="4"/>
      <c r="AS155" s="4"/>
    </row>
    <row r="156" spans="1:45" ht="42.75" customHeight="1" x14ac:dyDescent="0.45">
      <c r="A156" s="5" t="s">
        <v>896</v>
      </c>
      <c r="B156" s="6" t="s">
        <v>897</v>
      </c>
      <c r="C156" s="6" t="s">
        <v>898</v>
      </c>
      <c r="D156" s="6" t="s">
        <v>899</v>
      </c>
      <c r="E156" s="6" t="s">
        <v>432</v>
      </c>
      <c r="F156" s="6" t="s">
        <v>900</v>
      </c>
      <c r="G156" s="6"/>
      <c r="H156" s="6" t="s">
        <v>844</v>
      </c>
      <c r="I156" s="6" t="s">
        <v>844</v>
      </c>
      <c r="J156" s="6" t="s">
        <v>844</v>
      </c>
      <c r="K156" s="6" t="s">
        <v>901</v>
      </c>
      <c r="L156" s="24">
        <v>64.015029999999996</v>
      </c>
      <c r="M156" s="24">
        <v>-22.12969</v>
      </c>
      <c r="N156" s="16">
        <v>3000000</v>
      </c>
      <c r="O156" s="16">
        <v>3000000</v>
      </c>
      <c r="P156" s="6" t="s">
        <v>434</v>
      </c>
      <c r="Q156" s="6" t="s">
        <v>435</v>
      </c>
      <c r="R156" s="6">
        <v>2021</v>
      </c>
      <c r="S156" s="6"/>
      <c r="T156" s="6" t="s">
        <v>54</v>
      </c>
      <c r="U156" s="6" t="s">
        <v>902</v>
      </c>
      <c r="V156" s="6"/>
      <c r="W156" s="7" t="s">
        <v>903</v>
      </c>
      <c r="X156" s="8"/>
      <c r="Y156" s="8"/>
      <c r="Z156" s="8"/>
      <c r="AA156" s="8"/>
      <c r="AB156" s="8"/>
      <c r="AC156" s="8"/>
      <c r="AD156" s="8"/>
      <c r="AE156" s="8"/>
      <c r="AF156" s="8"/>
      <c r="AG156" s="8"/>
      <c r="AH156" s="8"/>
      <c r="AI156" s="8"/>
      <c r="AJ156" s="8"/>
      <c r="AK156" s="8"/>
      <c r="AL156" s="8"/>
      <c r="AM156" s="8"/>
      <c r="AN156" s="8"/>
      <c r="AO156" s="8"/>
      <c r="AP156" s="8"/>
      <c r="AQ156" s="8"/>
      <c r="AR156" s="8"/>
      <c r="AS156" s="8"/>
    </row>
    <row r="157" spans="1:45" ht="42.75" customHeight="1" x14ac:dyDescent="0.45">
      <c r="A157" s="5" t="s">
        <v>322</v>
      </c>
      <c r="B157" s="6" t="s">
        <v>323</v>
      </c>
      <c r="C157" s="6" t="s">
        <v>324</v>
      </c>
      <c r="D157" s="6" t="s">
        <v>325</v>
      </c>
      <c r="E157" s="6" t="s">
        <v>326</v>
      </c>
      <c r="F157" s="6" t="s">
        <v>327</v>
      </c>
      <c r="G157" s="6"/>
      <c r="H157" s="6" t="s">
        <v>51</v>
      </c>
      <c r="I157" s="6" t="s">
        <v>51</v>
      </c>
      <c r="J157" s="6" t="s">
        <v>157</v>
      </c>
      <c r="K157" s="6" t="s">
        <v>157</v>
      </c>
      <c r="L157" s="24">
        <v>37.193635362090198</v>
      </c>
      <c r="M157" s="24">
        <v>15.182270246022201</v>
      </c>
      <c r="N157" s="16">
        <v>200000</v>
      </c>
      <c r="O157" s="16">
        <v>200000</v>
      </c>
      <c r="P157" s="6" t="s">
        <v>65</v>
      </c>
      <c r="Q157" s="6" t="s">
        <v>66</v>
      </c>
      <c r="R157" s="6">
        <v>2022</v>
      </c>
      <c r="S157" s="6"/>
      <c r="T157" s="6" t="s">
        <v>54</v>
      </c>
      <c r="U157" s="6" t="s">
        <v>328</v>
      </c>
      <c r="V157" s="6" t="s">
        <v>107</v>
      </c>
      <c r="W157" s="6" t="s">
        <v>329</v>
      </c>
      <c r="X157" s="8"/>
      <c r="Y157" s="8"/>
      <c r="Z157" s="8"/>
      <c r="AA157" s="8"/>
      <c r="AB157" s="8"/>
      <c r="AC157" s="8"/>
      <c r="AD157" s="8"/>
      <c r="AE157" s="8"/>
      <c r="AF157" s="8"/>
      <c r="AG157" s="8"/>
      <c r="AH157" s="8"/>
      <c r="AI157" s="8"/>
      <c r="AJ157" s="8"/>
      <c r="AK157" s="8"/>
      <c r="AL157" s="8"/>
      <c r="AM157" s="8"/>
      <c r="AN157" s="8"/>
      <c r="AO157" s="8"/>
      <c r="AP157" s="8"/>
      <c r="AQ157" s="8"/>
      <c r="AR157" s="8"/>
      <c r="AS157" s="8"/>
    </row>
    <row r="158" spans="1:45" ht="32.25" customHeight="1" x14ac:dyDescent="0.45">
      <c r="A158" s="5" t="s">
        <v>743</v>
      </c>
      <c r="B158" s="6" t="s">
        <v>744</v>
      </c>
      <c r="C158" s="6" t="s">
        <v>745</v>
      </c>
      <c r="D158" s="6" t="s">
        <v>746</v>
      </c>
      <c r="E158" s="6" t="s">
        <v>326</v>
      </c>
      <c r="F158" s="6" t="s">
        <v>747</v>
      </c>
      <c r="G158" s="6"/>
      <c r="H158" s="6" t="s">
        <v>51</v>
      </c>
      <c r="I158" s="6" t="s">
        <v>51</v>
      </c>
      <c r="J158" s="6" t="s">
        <v>688</v>
      </c>
      <c r="K158" s="6" t="s">
        <v>748</v>
      </c>
      <c r="L158" s="24">
        <v>44.466719285869303</v>
      </c>
      <c r="M158" s="24">
        <v>12.2417691478596</v>
      </c>
      <c r="N158" s="16">
        <v>110000</v>
      </c>
      <c r="O158" s="16">
        <v>110000</v>
      </c>
      <c r="P158" s="6" t="s">
        <v>65</v>
      </c>
      <c r="Q158" s="6" t="s">
        <v>184</v>
      </c>
      <c r="R158" s="6">
        <v>2025</v>
      </c>
      <c r="S158" s="6"/>
      <c r="T158" s="6" t="s">
        <v>54</v>
      </c>
      <c r="U158" s="6" t="s">
        <v>749</v>
      </c>
      <c r="V158" s="6"/>
      <c r="W158" s="7" t="s">
        <v>750</v>
      </c>
      <c r="X158" s="8"/>
      <c r="Y158" s="8"/>
      <c r="Z158" s="8"/>
      <c r="AA158" s="8"/>
      <c r="AB158" s="8"/>
      <c r="AC158" s="8"/>
      <c r="AD158" s="8"/>
      <c r="AE158" s="8"/>
      <c r="AF158" s="8"/>
      <c r="AG158" s="8"/>
      <c r="AH158" s="8"/>
      <c r="AI158" s="8"/>
      <c r="AJ158" s="8"/>
      <c r="AK158" s="8"/>
      <c r="AL158" s="8"/>
      <c r="AM158" s="8"/>
      <c r="AN158" s="8"/>
      <c r="AO158" s="8"/>
      <c r="AP158" s="8"/>
      <c r="AQ158" s="8"/>
      <c r="AR158" s="8"/>
      <c r="AS158" s="8"/>
    </row>
    <row r="159" spans="1:45" ht="21.75" customHeight="1" x14ac:dyDescent="0.45">
      <c r="A159" s="1" t="s">
        <v>904</v>
      </c>
      <c r="B159" s="2" t="s">
        <v>905</v>
      </c>
      <c r="C159" s="2" t="s">
        <v>906</v>
      </c>
      <c r="D159" s="2" t="s">
        <v>907</v>
      </c>
      <c r="E159" s="2" t="s">
        <v>326</v>
      </c>
      <c r="F159" s="2" t="s">
        <v>747</v>
      </c>
      <c r="G159" s="2"/>
      <c r="H159" s="2" t="s">
        <v>844</v>
      </c>
      <c r="I159" s="2" t="s">
        <v>844</v>
      </c>
      <c r="J159" s="2" t="s">
        <v>844</v>
      </c>
      <c r="K159" s="2" t="s">
        <v>844</v>
      </c>
      <c r="L159" s="23">
        <v>44.599559999999997</v>
      </c>
      <c r="M159" s="23">
        <v>12.682180000000001</v>
      </c>
      <c r="N159" s="16">
        <v>4000000</v>
      </c>
      <c r="O159" s="16" t="s">
        <v>908</v>
      </c>
      <c r="P159" s="2" t="s">
        <v>65</v>
      </c>
      <c r="Q159" s="2" t="s">
        <v>184</v>
      </c>
      <c r="R159" s="2">
        <v>2020</v>
      </c>
      <c r="S159" s="2"/>
      <c r="T159" s="2" t="s">
        <v>447</v>
      </c>
      <c r="U159" s="2" t="s">
        <v>909</v>
      </c>
      <c r="V159" s="2"/>
      <c r="W159" s="3" t="s">
        <v>910</v>
      </c>
      <c r="X159" s="4"/>
      <c r="Y159" s="4"/>
      <c r="Z159" s="4"/>
      <c r="AA159" s="4"/>
      <c r="AB159" s="4"/>
      <c r="AC159" s="4"/>
      <c r="AD159" s="4"/>
      <c r="AE159" s="4"/>
      <c r="AF159" s="4"/>
      <c r="AG159" s="4"/>
      <c r="AH159" s="4"/>
      <c r="AI159" s="4"/>
      <c r="AJ159" s="4"/>
      <c r="AK159" s="4"/>
      <c r="AL159" s="4"/>
      <c r="AM159" s="4"/>
      <c r="AN159" s="4"/>
      <c r="AO159" s="4"/>
      <c r="AP159" s="4"/>
      <c r="AQ159" s="4"/>
      <c r="AR159" s="4"/>
      <c r="AS159" s="4"/>
    </row>
    <row r="160" spans="1:45" ht="32.25" customHeight="1" x14ac:dyDescent="0.45">
      <c r="A160" s="5" t="s">
        <v>1158</v>
      </c>
      <c r="B160" s="6" t="s">
        <v>1159</v>
      </c>
      <c r="C160" s="6" t="s">
        <v>1160</v>
      </c>
      <c r="D160" s="6" t="s">
        <v>1161</v>
      </c>
      <c r="E160" s="6" t="s">
        <v>326</v>
      </c>
      <c r="F160" s="6" t="s">
        <v>1162</v>
      </c>
      <c r="G160" s="6"/>
      <c r="H160" s="6" t="s">
        <v>51</v>
      </c>
      <c r="I160" s="6" t="s">
        <v>51</v>
      </c>
      <c r="J160" s="6" t="s">
        <v>1033</v>
      </c>
      <c r="K160" s="6" t="s">
        <v>1163</v>
      </c>
      <c r="L160" s="24">
        <v>44.473595000000003</v>
      </c>
      <c r="M160" s="24">
        <v>12.251801</v>
      </c>
      <c r="N160" s="16">
        <v>0</v>
      </c>
      <c r="O160" s="16" t="s">
        <v>176</v>
      </c>
      <c r="P160" s="6" t="s">
        <v>65</v>
      </c>
      <c r="Q160" s="6" t="s">
        <v>184</v>
      </c>
      <c r="R160" s="6"/>
      <c r="S160" s="6">
        <v>2024</v>
      </c>
      <c r="T160" s="6" t="s">
        <v>447</v>
      </c>
      <c r="U160" s="6" t="s">
        <v>1164</v>
      </c>
      <c r="V160" s="6"/>
      <c r="W160" s="6" t="s">
        <v>1165</v>
      </c>
      <c r="X160" s="8"/>
      <c r="Y160" s="8"/>
      <c r="Z160" s="8"/>
      <c r="AA160" s="8"/>
      <c r="AB160" s="8"/>
      <c r="AC160" s="8"/>
      <c r="AD160" s="8"/>
      <c r="AE160" s="8"/>
      <c r="AF160" s="8"/>
      <c r="AG160" s="8"/>
      <c r="AH160" s="8"/>
      <c r="AI160" s="8"/>
      <c r="AJ160" s="8"/>
      <c r="AK160" s="8"/>
      <c r="AL160" s="8"/>
      <c r="AM160" s="8"/>
      <c r="AN160" s="8"/>
      <c r="AO160" s="8"/>
      <c r="AP160" s="8"/>
      <c r="AQ160" s="8"/>
      <c r="AR160" s="8"/>
      <c r="AS160" s="8"/>
    </row>
    <row r="161" spans="1:45" ht="42.75" customHeight="1" x14ac:dyDescent="0.45">
      <c r="A161" s="1" t="s">
        <v>1292</v>
      </c>
      <c r="B161" s="2" t="s">
        <v>1293</v>
      </c>
      <c r="C161" s="2" t="s">
        <v>1294</v>
      </c>
      <c r="D161" s="2" t="s">
        <v>1295</v>
      </c>
      <c r="E161" s="2" t="s">
        <v>326</v>
      </c>
      <c r="F161" s="2" t="s">
        <v>1296</v>
      </c>
      <c r="G161" s="2"/>
      <c r="H161" s="2" t="s">
        <v>1243</v>
      </c>
      <c r="I161" s="2" t="s">
        <v>1243</v>
      </c>
      <c r="J161" s="2" t="s">
        <v>1243</v>
      </c>
      <c r="K161" s="2" t="s">
        <v>1243</v>
      </c>
      <c r="L161" s="23">
        <v>44.860177</v>
      </c>
      <c r="M161" s="23">
        <v>11.555133</v>
      </c>
      <c r="N161" s="16">
        <v>64000</v>
      </c>
      <c r="O161" s="16">
        <v>64000</v>
      </c>
      <c r="P161" s="2" t="s">
        <v>65</v>
      </c>
      <c r="Q161" s="2" t="s">
        <v>184</v>
      </c>
      <c r="R161" s="2">
        <v>2024</v>
      </c>
      <c r="S161" s="2">
        <v>2030</v>
      </c>
      <c r="T161" s="2" t="s">
        <v>54</v>
      </c>
      <c r="U161" s="2" t="s">
        <v>1297</v>
      </c>
      <c r="V161" s="2"/>
      <c r="W161" s="2"/>
      <c r="X161" s="4"/>
      <c r="Y161" s="4"/>
      <c r="Z161" s="4"/>
      <c r="AA161" s="4"/>
      <c r="AB161" s="4"/>
      <c r="AC161" s="4"/>
      <c r="AD161" s="4"/>
      <c r="AE161" s="4"/>
      <c r="AF161" s="4"/>
      <c r="AG161" s="4"/>
      <c r="AH161" s="4"/>
      <c r="AI161" s="4"/>
      <c r="AJ161" s="4"/>
      <c r="AK161" s="4"/>
      <c r="AL161" s="4"/>
      <c r="AM161" s="4"/>
      <c r="AN161" s="4"/>
      <c r="AO161" s="4"/>
      <c r="AP161" s="4"/>
      <c r="AQ161" s="4"/>
      <c r="AR161" s="4"/>
      <c r="AS161" s="4"/>
    </row>
    <row r="162" spans="1:45" ht="21.75" customHeight="1" x14ac:dyDescent="0.45">
      <c r="A162" s="1" t="s">
        <v>1453</v>
      </c>
      <c r="B162" s="2" t="s">
        <v>1454</v>
      </c>
      <c r="C162" s="2" t="s">
        <v>1455</v>
      </c>
      <c r="D162" s="2" t="s">
        <v>1456</v>
      </c>
      <c r="E162" s="2" t="s">
        <v>326</v>
      </c>
      <c r="F162" s="2" t="s">
        <v>1457</v>
      </c>
      <c r="G162" s="2"/>
      <c r="H162" s="2" t="s">
        <v>51</v>
      </c>
      <c r="I162" s="2" t="s">
        <v>51</v>
      </c>
      <c r="J162" s="2" t="s">
        <v>157</v>
      </c>
      <c r="K162" s="2" t="s">
        <v>157</v>
      </c>
      <c r="L162" s="23">
        <v>45.515420037671298</v>
      </c>
      <c r="M162" s="23">
        <v>10.342681494318001</v>
      </c>
      <c r="N162" s="16">
        <v>0</v>
      </c>
      <c r="O162" s="16" t="s">
        <v>176</v>
      </c>
      <c r="P162" s="2" t="s">
        <v>65</v>
      </c>
      <c r="Q162" s="2" t="s">
        <v>149</v>
      </c>
      <c r="R162" s="2">
        <v>2024</v>
      </c>
      <c r="S162" s="2"/>
      <c r="T162" s="2" t="s">
        <v>98</v>
      </c>
      <c r="U162" s="2" t="s">
        <v>1458</v>
      </c>
      <c r="V162" s="2"/>
      <c r="W162" s="2" t="s">
        <v>1459</v>
      </c>
      <c r="X162" s="4"/>
      <c r="Y162" s="4"/>
      <c r="Z162" s="4"/>
      <c r="AA162" s="4"/>
      <c r="AB162" s="4"/>
      <c r="AC162" s="4"/>
      <c r="AD162" s="4"/>
      <c r="AE162" s="4"/>
      <c r="AF162" s="4"/>
      <c r="AG162" s="4"/>
      <c r="AH162" s="4"/>
      <c r="AI162" s="4"/>
      <c r="AJ162" s="4"/>
      <c r="AK162" s="4"/>
      <c r="AL162" s="4"/>
      <c r="AM162" s="4"/>
      <c r="AN162" s="4"/>
      <c r="AO162" s="4"/>
      <c r="AP162" s="4"/>
      <c r="AQ162" s="4"/>
      <c r="AR162" s="4"/>
      <c r="AS162" s="4"/>
    </row>
    <row r="163" spans="1:45" ht="21.75" customHeight="1" x14ac:dyDescent="0.45">
      <c r="A163" s="5" t="s">
        <v>337</v>
      </c>
      <c r="B163" s="6" t="s">
        <v>338</v>
      </c>
      <c r="C163" s="6" t="s">
        <v>339</v>
      </c>
      <c r="D163" s="6" t="s">
        <v>340</v>
      </c>
      <c r="E163" s="6" t="s">
        <v>341</v>
      </c>
      <c r="F163" s="6" t="s">
        <v>342</v>
      </c>
      <c r="G163" s="6"/>
      <c r="H163" s="6" t="s">
        <v>51</v>
      </c>
      <c r="I163" s="6" t="s">
        <v>51</v>
      </c>
      <c r="J163" s="6" t="s">
        <v>157</v>
      </c>
      <c r="K163" s="6" t="s">
        <v>157</v>
      </c>
      <c r="L163" s="24">
        <v>56.314300000000003</v>
      </c>
      <c r="M163" s="24">
        <v>22.917200000000001</v>
      </c>
      <c r="N163" s="16">
        <v>740000</v>
      </c>
      <c r="O163" s="16">
        <v>740000</v>
      </c>
      <c r="P163" s="6" t="s">
        <v>53</v>
      </c>
      <c r="Q163" s="6" t="s">
        <v>53</v>
      </c>
      <c r="R163" s="6"/>
      <c r="S163" s="6"/>
      <c r="T163" s="6" t="s">
        <v>98</v>
      </c>
      <c r="U163" s="6"/>
      <c r="V163" s="6"/>
      <c r="W163" s="6" t="s">
        <v>343</v>
      </c>
      <c r="X163" s="8"/>
      <c r="Y163" s="8"/>
      <c r="Z163" s="8"/>
      <c r="AA163" s="8"/>
      <c r="AB163" s="8"/>
      <c r="AC163" s="8"/>
      <c r="AD163" s="8"/>
      <c r="AE163" s="8"/>
      <c r="AF163" s="8"/>
      <c r="AG163" s="8"/>
      <c r="AH163" s="8"/>
      <c r="AI163" s="8"/>
      <c r="AJ163" s="8"/>
      <c r="AK163" s="8"/>
      <c r="AL163" s="8"/>
      <c r="AM163" s="8"/>
      <c r="AN163" s="8"/>
      <c r="AO163" s="8"/>
      <c r="AP163" s="8"/>
      <c r="AQ163" s="8"/>
      <c r="AR163" s="8"/>
      <c r="AS163" s="8"/>
    </row>
    <row r="164" spans="1:45" ht="15" customHeight="1" x14ac:dyDescent="0.45">
      <c r="A164" s="1" t="s">
        <v>751</v>
      </c>
      <c r="B164" s="2" t="s">
        <v>752</v>
      </c>
      <c r="C164" s="2" t="s">
        <v>753</v>
      </c>
      <c r="D164" s="2" t="s">
        <v>754</v>
      </c>
      <c r="E164" s="2" t="s">
        <v>341</v>
      </c>
      <c r="F164" s="2" t="s">
        <v>755</v>
      </c>
      <c r="G164" s="2"/>
      <c r="H164" s="2" t="s">
        <v>51</v>
      </c>
      <c r="I164" s="2" t="s">
        <v>51</v>
      </c>
      <c r="J164" s="2" t="s">
        <v>688</v>
      </c>
      <c r="K164" s="2" t="s">
        <v>756</v>
      </c>
      <c r="L164" s="23">
        <v>56</v>
      </c>
      <c r="M164" s="23">
        <v>22</v>
      </c>
      <c r="N164" s="16">
        <v>600000</v>
      </c>
      <c r="O164" s="16">
        <v>600000</v>
      </c>
      <c r="P164" s="2" t="s">
        <v>53</v>
      </c>
      <c r="Q164" s="2" t="s">
        <v>53</v>
      </c>
      <c r="R164" s="2"/>
      <c r="S164" s="2"/>
      <c r="T164" s="2" t="s">
        <v>98</v>
      </c>
      <c r="U164" s="2"/>
      <c r="V164" s="2"/>
      <c r="W164" s="2" t="s">
        <v>757</v>
      </c>
      <c r="X164" s="4"/>
      <c r="Y164" s="4"/>
      <c r="Z164" s="4"/>
      <c r="AA164" s="4"/>
      <c r="AB164" s="4"/>
      <c r="AC164" s="4"/>
      <c r="AD164" s="4"/>
      <c r="AE164" s="4"/>
      <c r="AF164" s="4"/>
      <c r="AG164" s="4"/>
      <c r="AH164" s="4"/>
      <c r="AI164" s="4"/>
      <c r="AJ164" s="4"/>
      <c r="AK164" s="4"/>
      <c r="AL164" s="4"/>
      <c r="AM164" s="4"/>
      <c r="AN164" s="4"/>
      <c r="AO164" s="4"/>
      <c r="AP164" s="4"/>
      <c r="AQ164" s="4"/>
      <c r="AR164" s="4"/>
      <c r="AS164" s="4"/>
    </row>
    <row r="165" spans="1:45" ht="21.75" customHeight="1" x14ac:dyDescent="0.45">
      <c r="A165" s="1" t="s">
        <v>1166</v>
      </c>
      <c r="B165" s="2" t="s">
        <v>1167</v>
      </c>
      <c r="C165" s="2" t="s">
        <v>1168</v>
      </c>
      <c r="D165" s="2" t="s">
        <v>1169</v>
      </c>
      <c r="E165" s="2" t="s">
        <v>341</v>
      </c>
      <c r="F165" s="2" t="s">
        <v>1170</v>
      </c>
      <c r="G165" s="2"/>
      <c r="H165" s="2" t="s">
        <v>51</v>
      </c>
      <c r="I165" s="2" t="s">
        <v>51</v>
      </c>
      <c r="J165" s="2" t="s">
        <v>1033</v>
      </c>
      <c r="K165" s="2" t="s">
        <v>1034</v>
      </c>
      <c r="L165" s="23">
        <v>55.654468999999999</v>
      </c>
      <c r="M165" s="23">
        <v>21.164863</v>
      </c>
      <c r="N165" s="16">
        <v>2800000</v>
      </c>
      <c r="O165" s="16">
        <v>2800000</v>
      </c>
      <c r="P165" s="2" t="s">
        <v>53</v>
      </c>
      <c r="Q165" s="2" t="s">
        <v>53</v>
      </c>
      <c r="R165" s="2">
        <v>2023</v>
      </c>
      <c r="S165" s="2">
        <v>2031</v>
      </c>
      <c r="T165" s="2" t="s">
        <v>98</v>
      </c>
      <c r="U165" s="2" t="s">
        <v>1171</v>
      </c>
      <c r="V165" s="2"/>
      <c r="W165" s="2" t="s">
        <v>1172</v>
      </c>
      <c r="X165" s="4"/>
      <c r="Y165" s="4"/>
      <c r="Z165" s="4"/>
      <c r="AA165" s="4"/>
      <c r="AB165" s="4"/>
      <c r="AC165" s="4"/>
      <c r="AD165" s="4"/>
      <c r="AE165" s="4"/>
      <c r="AF165" s="4"/>
      <c r="AG165" s="4"/>
      <c r="AH165" s="4"/>
      <c r="AI165" s="4"/>
      <c r="AJ165" s="4"/>
      <c r="AK165" s="4"/>
      <c r="AL165" s="4"/>
      <c r="AM165" s="4"/>
      <c r="AN165" s="4"/>
      <c r="AO165" s="4"/>
      <c r="AP165" s="4"/>
      <c r="AQ165" s="4"/>
      <c r="AR165" s="4"/>
      <c r="AS165" s="4"/>
    </row>
    <row r="166" spans="1:45" ht="32.25" customHeight="1" x14ac:dyDescent="0.45">
      <c r="A166" s="1" t="s">
        <v>330</v>
      </c>
      <c r="B166" s="2" t="s">
        <v>331</v>
      </c>
      <c r="C166" s="2" t="s">
        <v>332</v>
      </c>
      <c r="D166" s="2" t="s">
        <v>333</v>
      </c>
      <c r="E166" s="2" t="s">
        <v>334</v>
      </c>
      <c r="F166" s="2" t="s">
        <v>335</v>
      </c>
      <c r="G166" s="2"/>
      <c r="H166" s="2" t="s">
        <v>51</v>
      </c>
      <c r="I166" s="2" t="s">
        <v>51</v>
      </c>
      <c r="J166" s="2" t="s">
        <v>157</v>
      </c>
      <c r="K166" s="2" t="s">
        <v>157</v>
      </c>
      <c r="L166" s="23">
        <v>56.691662106644003</v>
      </c>
      <c r="M166" s="23">
        <v>22.591231112149199</v>
      </c>
      <c r="N166" s="16">
        <v>750000</v>
      </c>
      <c r="O166" s="16">
        <v>750000</v>
      </c>
      <c r="P166" s="2" t="s">
        <v>75</v>
      </c>
      <c r="Q166" s="2" t="s">
        <v>75</v>
      </c>
      <c r="R166" s="2">
        <v>2024</v>
      </c>
      <c r="S166" s="2"/>
      <c r="T166" s="2" t="s">
        <v>54</v>
      </c>
      <c r="U166" s="2"/>
      <c r="V166" s="2" t="s">
        <v>160</v>
      </c>
      <c r="W166" s="3" t="s">
        <v>336</v>
      </c>
      <c r="X166" s="4"/>
      <c r="Y166" s="4"/>
      <c r="Z166" s="4"/>
      <c r="AA166" s="4"/>
      <c r="AB166" s="4"/>
      <c r="AC166" s="4"/>
      <c r="AD166" s="4"/>
      <c r="AE166" s="4"/>
      <c r="AF166" s="4"/>
      <c r="AG166" s="4"/>
      <c r="AH166" s="4"/>
      <c r="AI166" s="4"/>
      <c r="AJ166" s="4"/>
      <c r="AK166" s="4"/>
      <c r="AL166" s="4"/>
      <c r="AM166" s="4"/>
      <c r="AN166" s="4"/>
      <c r="AO166" s="4"/>
      <c r="AP166" s="4"/>
      <c r="AQ166" s="4"/>
      <c r="AR166" s="4"/>
      <c r="AS166" s="4"/>
    </row>
    <row r="167" spans="1:45" ht="21.75" customHeight="1" x14ac:dyDescent="0.45">
      <c r="A167" s="5" t="s">
        <v>109</v>
      </c>
      <c r="B167" s="6" t="s">
        <v>110</v>
      </c>
      <c r="C167" s="6" t="s">
        <v>111</v>
      </c>
      <c r="D167" s="6" t="s">
        <v>112</v>
      </c>
      <c r="E167" s="6" t="s">
        <v>113</v>
      </c>
      <c r="F167" s="6" t="s">
        <v>114</v>
      </c>
      <c r="G167" s="6"/>
      <c r="H167" s="6" t="s">
        <v>84</v>
      </c>
      <c r="I167" s="6" t="s">
        <v>84</v>
      </c>
      <c r="J167" s="6" t="s">
        <v>85</v>
      </c>
      <c r="K167" s="6" t="s">
        <v>85</v>
      </c>
      <c r="L167" s="24">
        <v>51.707006911721201</v>
      </c>
      <c r="M167" s="24">
        <v>4.8462266750698797</v>
      </c>
      <c r="N167" s="16">
        <v>3000000</v>
      </c>
      <c r="O167" s="16">
        <v>3000000</v>
      </c>
      <c r="P167" s="6" t="s">
        <v>53</v>
      </c>
      <c r="Q167" s="6" t="s">
        <v>53</v>
      </c>
      <c r="R167" s="6">
        <v>2022</v>
      </c>
      <c r="S167" s="6"/>
      <c r="T167" s="6" t="s">
        <v>54</v>
      </c>
      <c r="U167" s="6"/>
      <c r="V167" s="6"/>
      <c r="W167" s="7" t="s">
        <v>115</v>
      </c>
      <c r="X167" s="8"/>
      <c r="Y167" s="8"/>
      <c r="Z167" s="8"/>
      <c r="AA167" s="8"/>
      <c r="AB167" s="8"/>
      <c r="AC167" s="8"/>
      <c r="AD167" s="8"/>
      <c r="AE167" s="8"/>
      <c r="AF167" s="8"/>
      <c r="AG167" s="8"/>
      <c r="AH167" s="8"/>
      <c r="AI167" s="8"/>
      <c r="AJ167" s="8"/>
      <c r="AK167" s="8"/>
      <c r="AL167" s="8"/>
      <c r="AM167" s="8"/>
      <c r="AN167" s="8"/>
      <c r="AO167" s="8"/>
      <c r="AP167" s="8"/>
      <c r="AQ167" s="8"/>
      <c r="AR167" s="8"/>
      <c r="AS167" s="8"/>
    </row>
    <row r="168" spans="1:45" ht="32.25" customHeight="1" x14ac:dyDescent="0.45">
      <c r="A168" s="1" t="s">
        <v>116</v>
      </c>
      <c r="B168" s="2" t="s">
        <v>117</v>
      </c>
      <c r="C168" s="2" t="s">
        <v>111</v>
      </c>
      <c r="D168" s="2" t="s">
        <v>112</v>
      </c>
      <c r="E168" s="2" t="s">
        <v>113</v>
      </c>
      <c r="F168" s="2" t="s">
        <v>118</v>
      </c>
      <c r="G168" s="2"/>
      <c r="H168" s="2" t="s">
        <v>84</v>
      </c>
      <c r="I168" s="2" t="s">
        <v>84</v>
      </c>
      <c r="J168" s="2" t="s">
        <v>85</v>
      </c>
      <c r="K168" s="2" t="s">
        <v>85</v>
      </c>
      <c r="L168" s="23">
        <v>53.438866475523596</v>
      </c>
      <c r="M168" s="23">
        <v>6.8616972890544297</v>
      </c>
      <c r="N168" s="16">
        <v>8000000</v>
      </c>
      <c r="O168" s="16">
        <v>8000000</v>
      </c>
      <c r="P168" s="2" t="s">
        <v>53</v>
      </c>
      <c r="Q168" s="2" t="s">
        <v>53</v>
      </c>
      <c r="R168" s="2">
        <v>2022</v>
      </c>
      <c r="S168" s="2"/>
      <c r="T168" s="2" t="s">
        <v>54</v>
      </c>
      <c r="U168" s="2" t="s">
        <v>119</v>
      </c>
      <c r="V168" s="2"/>
      <c r="W168" s="3" t="s">
        <v>115</v>
      </c>
      <c r="X168" s="4"/>
      <c r="Y168" s="4"/>
      <c r="Z168" s="4"/>
      <c r="AA168" s="4"/>
      <c r="AB168" s="4"/>
      <c r="AC168" s="4"/>
      <c r="AD168" s="4"/>
      <c r="AE168" s="4"/>
      <c r="AF168" s="4"/>
      <c r="AG168" s="4"/>
      <c r="AH168" s="4"/>
      <c r="AI168" s="4"/>
      <c r="AJ168" s="4"/>
      <c r="AK168" s="4"/>
      <c r="AL168" s="4"/>
      <c r="AM168" s="4"/>
      <c r="AN168" s="4"/>
      <c r="AO168" s="4"/>
      <c r="AP168" s="4"/>
      <c r="AQ168" s="4"/>
      <c r="AR168" s="4"/>
      <c r="AS168" s="4"/>
    </row>
    <row r="169" spans="1:45" ht="32.25" customHeight="1" x14ac:dyDescent="0.45">
      <c r="A169" s="1" t="s">
        <v>502</v>
      </c>
      <c r="B169" s="2" t="s">
        <v>503</v>
      </c>
      <c r="C169" s="2" t="s">
        <v>504</v>
      </c>
      <c r="D169" s="2" t="s">
        <v>505</v>
      </c>
      <c r="E169" s="2" t="s">
        <v>113</v>
      </c>
      <c r="F169" s="2" t="s">
        <v>506</v>
      </c>
      <c r="G169" s="2"/>
      <c r="H169" s="2" t="s">
        <v>51</v>
      </c>
      <c r="I169" s="2" t="s">
        <v>51</v>
      </c>
      <c r="J169" s="2" t="s">
        <v>476</v>
      </c>
      <c r="K169" s="2" t="s">
        <v>476</v>
      </c>
      <c r="L169" s="23">
        <v>51.884999999999998</v>
      </c>
      <c r="M169" s="23">
        <v>4.3019999999999996</v>
      </c>
      <c r="N169" s="16">
        <v>500000</v>
      </c>
      <c r="O169" s="16">
        <v>500000</v>
      </c>
      <c r="P169" s="2" t="s">
        <v>65</v>
      </c>
      <c r="Q169" s="2" t="s">
        <v>184</v>
      </c>
      <c r="R169" s="2">
        <v>2023</v>
      </c>
      <c r="S169" s="2">
        <v>2026</v>
      </c>
      <c r="T169" s="2" t="s">
        <v>54</v>
      </c>
      <c r="U169" s="2" t="s">
        <v>507</v>
      </c>
      <c r="V169" s="2"/>
      <c r="W169" s="2" t="s">
        <v>508</v>
      </c>
      <c r="X169" s="4"/>
      <c r="Y169" s="4"/>
      <c r="Z169" s="4"/>
      <c r="AA169" s="4"/>
      <c r="AB169" s="4"/>
      <c r="AC169" s="4"/>
      <c r="AD169" s="4"/>
      <c r="AE169" s="4"/>
      <c r="AF169" s="4"/>
      <c r="AG169" s="4"/>
      <c r="AH169" s="4"/>
      <c r="AI169" s="4"/>
      <c r="AJ169" s="4"/>
      <c r="AK169" s="4"/>
      <c r="AL169" s="4"/>
      <c r="AM169" s="4"/>
      <c r="AN169" s="4"/>
      <c r="AO169" s="4"/>
      <c r="AP169" s="4"/>
      <c r="AQ169" s="4"/>
      <c r="AR169" s="4"/>
      <c r="AS169" s="4"/>
    </row>
    <row r="170" spans="1:45" ht="74.25" customHeight="1" x14ac:dyDescent="0.45">
      <c r="A170" s="5" t="s">
        <v>509</v>
      </c>
      <c r="B170" s="6" t="s">
        <v>510</v>
      </c>
      <c r="C170" s="6" t="s">
        <v>511</v>
      </c>
      <c r="D170" s="6" t="s">
        <v>512</v>
      </c>
      <c r="E170" s="6" t="s">
        <v>113</v>
      </c>
      <c r="F170" s="6" t="s">
        <v>506</v>
      </c>
      <c r="G170" s="6"/>
      <c r="H170" s="6" t="s">
        <v>51</v>
      </c>
      <c r="I170" s="6" t="s">
        <v>51</v>
      </c>
      <c r="J170" s="6" t="s">
        <v>476</v>
      </c>
      <c r="K170" s="6" t="s">
        <v>476</v>
      </c>
      <c r="L170" s="24">
        <v>51.87</v>
      </c>
      <c r="M170" s="24">
        <v>4.3</v>
      </c>
      <c r="N170" s="16">
        <v>400000</v>
      </c>
      <c r="O170" s="16">
        <v>400000</v>
      </c>
      <c r="P170" s="6" t="s">
        <v>65</v>
      </c>
      <c r="Q170" s="6" t="s">
        <v>184</v>
      </c>
      <c r="R170" s="6">
        <v>2023</v>
      </c>
      <c r="S170" s="6">
        <v>2026</v>
      </c>
      <c r="T170" s="6" t="s">
        <v>54</v>
      </c>
      <c r="U170" s="6" t="s">
        <v>513</v>
      </c>
      <c r="V170" s="6"/>
      <c r="W170" s="6" t="s">
        <v>514</v>
      </c>
      <c r="X170" s="8"/>
      <c r="Y170" s="8"/>
      <c r="Z170" s="8"/>
      <c r="AA170" s="8"/>
      <c r="AB170" s="8"/>
      <c r="AC170" s="8"/>
      <c r="AD170" s="8"/>
      <c r="AE170" s="8"/>
      <c r="AF170" s="8"/>
      <c r="AG170" s="8"/>
      <c r="AH170" s="8"/>
      <c r="AI170" s="8"/>
      <c r="AJ170" s="8"/>
      <c r="AK170" s="8"/>
      <c r="AL170" s="8"/>
      <c r="AM170" s="8"/>
      <c r="AN170" s="8"/>
      <c r="AO170" s="8"/>
      <c r="AP170" s="8"/>
      <c r="AQ170" s="8"/>
      <c r="AR170" s="8"/>
      <c r="AS170" s="8"/>
    </row>
    <row r="171" spans="1:45" ht="32.25" customHeight="1" x14ac:dyDescent="0.45">
      <c r="A171" s="1" t="s">
        <v>515</v>
      </c>
      <c r="B171" s="2" t="s">
        <v>516</v>
      </c>
      <c r="C171" s="2" t="s">
        <v>517</v>
      </c>
      <c r="D171" s="2" t="s">
        <v>518</v>
      </c>
      <c r="E171" s="2" t="s">
        <v>113</v>
      </c>
      <c r="F171" s="2" t="s">
        <v>519</v>
      </c>
      <c r="G171" s="2"/>
      <c r="H171" s="2" t="s">
        <v>51</v>
      </c>
      <c r="I171" s="2" t="s">
        <v>51</v>
      </c>
      <c r="J171" s="2" t="s">
        <v>476</v>
      </c>
      <c r="K171" s="2" t="s">
        <v>476</v>
      </c>
      <c r="L171" s="23">
        <v>51.944327897689099</v>
      </c>
      <c r="M171" s="23">
        <v>4.0725755832421999</v>
      </c>
      <c r="N171" s="16">
        <v>2500000</v>
      </c>
      <c r="O171" s="16">
        <v>2500000</v>
      </c>
      <c r="P171" s="2" t="s">
        <v>65</v>
      </c>
      <c r="Q171" s="2" t="s">
        <v>184</v>
      </c>
      <c r="R171" s="2">
        <v>2023</v>
      </c>
      <c r="S171" s="2"/>
      <c r="T171" s="2" t="s">
        <v>54</v>
      </c>
      <c r="U171" s="2" t="s">
        <v>520</v>
      </c>
      <c r="V171" s="2" t="s">
        <v>272</v>
      </c>
      <c r="W171" s="3" t="s">
        <v>521</v>
      </c>
      <c r="X171" s="4"/>
      <c r="Y171" s="4"/>
      <c r="Z171" s="4"/>
      <c r="AA171" s="4"/>
      <c r="AB171" s="4"/>
      <c r="AC171" s="4"/>
      <c r="AD171" s="4"/>
      <c r="AE171" s="4"/>
      <c r="AF171" s="4"/>
      <c r="AG171" s="4"/>
      <c r="AH171" s="4"/>
      <c r="AI171" s="4"/>
      <c r="AJ171" s="4"/>
      <c r="AK171" s="4"/>
      <c r="AL171" s="4"/>
      <c r="AM171" s="4"/>
      <c r="AN171" s="4"/>
      <c r="AO171" s="4"/>
      <c r="AP171" s="4"/>
      <c r="AQ171" s="4"/>
      <c r="AR171" s="4"/>
      <c r="AS171" s="4"/>
    </row>
    <row r="172" spans="1:45" ht="21.75" customHeight="1" x14ac:dyDescent="0.45">
      <c r="A172" s="5" t="s">
        <v>522</v>
      </c>
      <c r="B172" s="6" t="s">
        <v>523</v>
      </c>
      <c r="C172" s="6" t="s">
        <v>524</v>
      </c>
      <c r="D172" s="6" t="s">
        <v>525</v>
      </c>
      <c r="E172" s="6" t="s">
        <v>113</v>
      </c>
      <c r="F172" s="6" t="s">
        <v>526</v>
      </c>
      <c r="G172" s="6"/>
      <c r="H172" s="6" t="s">
        <v>51</v>
      </c>
      <c r="I172" s="6" t="s">
        <v>51</v>
      </c>
      <c r="J172" s="6" t="s">
        <v>476</v>
      </c>
      <c r="K172" s="6" t="s">
        <v>527</v>
      </c>
      <c r="L172" s="24">
        <v>51.849600000000002</v>
      </c>
      <c r="M172" s="24">
        <v>4.24526</v>
      </c>
      <c r="N172" s="16">
        <v>1300000</v>
      </c>
      <c r="O172" s="16" t="s">
        <v>528</v>
      </c>
      <c r="P172" s="6" t="s">
        <v>65</v>
      </c>
      <c r="Q172" s="6" t="s">
        <v>184</v>
      </c>
      <c r="R172" s="6">
        <v>2019</v>
      </c>
      <c r="S172" s="6"/>
      <c r="T172" s="6" t="s">
        <v>54</v>
      </c>
      <c r="U172" s="6" t="s">
        <v>529</v>
      </c>
      <c r="V172" s="6"/>
      <c r="W172" s="7" t="s">
        <v>530</v>
      </c>
      <c r="X172" s="8"/>
      <c r="Y172" s="8"/>
      <c r="Z172" s="8"/>
      <c r="AA172" s="8"/>
      <c r="AB172" s="8"/>
      <c r="AC172" s="8"/>
      <c r="AD172" s="8"/>
      <c r="AE172" s="8"/>
      <c r="AF172" s="8"/>
      <c r="AG172" s="8"/>
      <c r="AH172" s="8"/>
      <c r="AI172" s="8"/>
      <c r="AJ172" s="8"/>
      <c r="AK172" s="8"/>
      <c r="AL172" s="8"/>
      <c r="AM172" s="8"/>
      <c r="AN172" s="8"/>
      <c r="AO172" s="8"/>
      <c r="AP172" s="8"/>
      <c r="AQ172" s="8"/>
      <c r="AR172" s="8"/>
      <c r="AS172" s="8"/>
    </row>
    <row r="173" spans="1:45" ht="32.25" customHeight="1" x14ac:dyDescent="0.45">
      <c r="A173" s="1" t="s">
        <v>531</v>
      </c>
      <c r="B173" s="2" t="s">
        <v>532</v>
      </c>
      <c r="C173" s="2" t="s">
        <v>533</v>
      </c>
      <c r="D173" s="2" t="s">
        <v>534</v>
      </c>
      <c r="E173" s="2" t="s">
        <v>113</v>
      </c>
      <c r="F173" s="2" t="s">
        <v>118</v>
      </c>
      <c r="G173" s="2"/>
      <c r="H173" s="2" t="s">
        <v>51</v>
      </c>
      <c r="I173" s="2" t="s">
        <v>51</v>
      </c>
      <c r="J173" s="2" t="s">
        <v>476</v>
      </c>
      <c r="K173" s="2" t="s">
        <v>535</v>
      </c>
      <c r="L173" s="23">
        <v>53.453804570716997</v>
      </c>
      <c r="M173" s="23">
        <v>6.8054388149364504</v>
      </c>
      <c r="N173" s="16">
        <v>1900000</v>
      </c>
      <c r="O173" s="16">
        <v>1900000</v>
      </c>
      <c r="P173" s="2" t="s">
        <v>53</v>
      </c>
      <c r="Q173" s="2" t="s">
        <v>53</v>
      </c>
      <c r="R173" s="2">
        <v>2019</v>
      </c>
      <c r="S173" s="2"/>
      <c r="T173" s="2" t="s">
        <v>54</v>
      </c>
      <c r="U173" s="2" t="s">
        <v>536</v>
      </c>
      <c r="V173" s="2"/>
      <c r="W173" s="3" t="s">
        <v>537</v>
      </c>
      <c r="X173" s="4"/>
      <c r="Y173" s="4"/>
      <c r="Z173" s="4"/>
      <c r="AA173" s="4"/>
      <c r="AB173" s="4"/>
      <c r="AC173" s="4"/>
      <c r="AD173" s="4"/>
      <c r="AE173" s="4"/>
      <c r="AF173" s="4"/>
      <c r="AG173" s="4"/>
      <c r="AH173" s="4"/>
      <c r="AI173" s="4"/>
      <c r="AJ173" s="4"/>
      <c r="AK173" s="4"/>
      <c r="AL173" s="4"/>
      <c r="AM173" s="4"/>
      <c r="AN173" s="4"/>
      <c r="AO173" s="4"/>
      <c r="AP173" s="4"/>
      <c r="AQ173" s="4"/>
      <c r="AR173" s="4"/>
      <c r="AS173" s="4"/>
    </row>
    <row r="174" spans="1:45" ht="32.25" customHeight="1" x14ac:dyDescent="0.45">
      <c r="A174" s="5" t="s">
        <v>538</v>
      </c>
      <c r="B174" s="6" t="s">
        <v>539</v>
      </c>
      <c r="C174" s="6" t="s">
        <v>540</v>
      </c>
      <c r="D174" s="6" t="s">
        <v>541</v>
      </c>
      <c r="E174" s="6" t="s">
        <v>113</v>
      </c>
      <c r="F174" s="6" t="s">
        <v>542</v>
      </c>
      <c r="G174" s="6"/>
      <c r="H174" s="6" t="s">
        <v>51</v>
      </c>
      <c r="I174" s="6" t="s">
        <v>51</v>
      </c>
      <c r="J174" s="6" t="s">
        <v>476</v>
      </c>
      <c r="K174" s="6" t="s">
        <v>543</v>
      </c>
      <c r="L174" s="24">
        <v>51.488500000000002</v>
      </c>
      <c r="M174" s="24">
        <v>3.72838</v>
      </c>
      <c r="N174" s="16">
        <v>800000</v>
      </c>
      <c r="O174" s="16">
        <v>800000</v>
      </c>
      <c r="P174" s="6" t="s">
        <v>53</v>
      </c>
      <c r="Q174" s="6" t="s">
        <v>53</v>
      </c>
      <c r="R174" s="6">
        <v>2021</v>
      </c>
      <c r="S174" s="6"/>
      <c r="T174" s="6" t="s">
        <v>54</v>
      </c>
      <c r="U174" s="6" t="s">
        <v>544</v>
      </c>
      <c r="V174" s="6"/>
      <c r="W174" s="7" t="s">
        <v>545</v>
      </c>
      <c r="X174" s="8"/>
      <c r="Y174" s="8"/>
      <c r="Z174" s="8"/>
      <c r="AA174" s="8"/>
      <c r="AB174" s="8"/>
      <c r="AC174" s="8"/>
      <c r="AD174" s="8"/>
      <c r="AE174" s="8"/>
      <c r="AF174" s="8"/>
      <c r="AG174" s="8"/>
      <c r="AH174" s="8"/>
      <c r="AI174" s="8"/>
      <c r="AJ174" s="8"/>
      <c r="AK174" s="8"/>
      <c r="AL174" s="8"/>
      <c r="AM174" s="8"/>
      <c r="AN174" s="8"/>
      <c r="AO174" s="8"/>
      <c r="AP174" s="8"/>
      <c r="AQ174" s="8"/>
      <c r="AR174" s="8"/>
      <c r="AS174" s="8"/>
    </row>
    <row r="175" spans="1:45" ht="32.25" customHeight="1" x14ac:dyDescent="0.45">
      <c r="A175" s="1" t="s">
        <v>546</v>
      </c>
      <c r="B175" s="2" t="s">
        <v>547</v>
      </c>
      <c r="C175" s="2" t="s">
        <v>548</v>
      </c>
      <c r="D175" s="2" t="s">
        <v>549</v>
      </c>
      <c r="E175" s="2" t="s">
        <v>113</v>
      </c>
      <c r="F175" s="2" t="s">
        <v>550</v>
      </c>
      <c r="G175" s="2"/>
      <c r="H175" s="2" t="s">
        <v>51</v>
      </c>
      <c r="I175" s="2" t="s">
        <v>51</v>
      </c>
      <c r="J175" s="2" t="s">
        <v>476</v>
      </c>
      <c r="K175" s="2" t="s">
        <v>476</v>
      </c>
      <c r="L175" s="23">
        <v>52.962570249839899</v>
      </c>
      <c r="M175" s="23">
        <v>4.79460282620526</v>
      </c>
      <c r="N175" s="16">
        <v>200000</v>
      </c>
      <c r="O175" s="16">
        <v>200000</v>
      </c>
      <c r="P175" s="2" t="s">
        <v>65</v>
      </c>
      <c r="Q175" s="2" t="s">
        <v>499</v>
      </c>
      <c r="R175" s="2">
        <v>2020</v>
      </c>
      <c r="S175" s="2"/>
      <c r="T175" s="2" t="s">
        <v>54</v>
      </c>
      <c r="U175" s="2" t="s">
        <v>551</v>
      </c>
      <c r="V175" s="2"/>
      <c r="W175" s="3" t="s">
        <v>552</v>
      </c>
      <c r="X175" s="4"/>
      <c r="Y175" s="4"/>
      <c r="Z175" s="4"/>
      <c r="AA175" s="4"/>
      <c r="AB175" s="4"/>
      <c r="AC175" s="4"/>
      <c r="AD175" s="4"/>
      <c r="AE175" s="4"/>
      <c r="AF175" s="4"/>
      <c r="AG175" s="4"/>
      <c r="AH175" s="4"/>
      <c r="AI175" s="4"/>
      <c r="AJ175" s="4"/>
      <c r="AK175" s="4"/>
      <c r="AL175" s="4"/>
      <c r="AM175" s="4"/>
      <c r="AN175" s="4"/>
      <c r="AO175" s="4"/>
      <c r="AP175" s="4"/>
      <c r="AQ175" s="4"/>
      <c r="AR175" s="4"/>
      <c r="AS175" s="4"/>
    </row>
    <row r="176" spans="1:45" ht="116.25" customHeight="1" x14ac:dyDescent="0.45">
      <c r="A176" s="5" t="s">
        <v>758</v>
      </c>
      <c r="B176" s="6" t="s">
        <v>759</v>
      </c>
      <c r="C176" s="6" t="s">
        <v>760</v>
      </c>
      <c r="D176" s="6" t="s">
        <v>761</v>
      </c>
      <c r="E176" s="6" t="s">
        <v>113</v>
      </c>
      <c r="F176" s="6" t="s">
        <v>762</v>
      </c>
      <c r="G176" s="6"/>
      <c r="H176" s="6" t="s">
        <v>51</v>
      </c>
      <c r="I176" s="6" t="s">
        <v>51</v>
      </c>
      <c r="J176" s="6" t="s">
        <v>688</v>
      </c>
      <c r="K176" s="6" t="s">
        <v>763</v>
      </c>
      <c r="L176" s="24">
        <v>51.878467999999998</v>
      </c>
      <c r="M176" s="24">
        <v>4.3481439999999996</v>
      </c>
      <c r="N176" s="16">
        <v>1150000</v>
      </c>
      <c r="O176" s="16">
        <v>1150000</v>
      </c>
      <c r="P176" s="6" t="s">
        <v>65</v>
      </c>
      <c r="Q176" s="6" t="s">
        <v>184</v>
      </c>
      <c r="R176" s="6">
        <v>2022</v>
      </c>
      <c r="S176" s="6"/>
      <c r="T176" s="6" t="s">
        <v>54</v>
      </c>
      <c r="U176" s="6" t="s">
        <v>513</v>
      </c>
      <c r="V176" s="6"/>
      <c r="W176" s="6" t="s">
        <v>764</v>
      </c>
      <c r="X176" s="8"/>
      <c r="Y176" s="8"/>
      <c r="Z176" s="8"/>
      <c r="AA176" s="8"/>
      <c r="AB176" s="8"/>
      <c r="AC176" s="8"/>
      <c r="AD176" s="8"/>
      <c r="AE176" s="8"/>
      <c r="AF176" s="8"/>
      <c r="AG176" s="8"/>
      <c r="AH176" s="8"/>
      <c r="AI176" s="8"/>
      <c r="AJ176" s="8"/>
      <c r="AK176" s="8"/>
      <c r="AL176" s="8"/>
      <c r="AM176" s="8"/>
      <c r="AN176" s="8"/>
      <c r="AO176" s="8"/>
      <c r="AP176" s="8"/>
      <c r="AQ176" s="8"/>
      <c r="AR176" s="8"/>
      <c r="AS176" s="8"/>
    </row>
    <row r="177" spans="1:45" ht="21.75" customHeight="1" x14ac:dyDescent="0.45">
      <c r="A177" s="1" t="s">
        <v>765</v>
      </c>
      <c r="B177" s="2" t="s">
        <v>766</v>
      </c>
      <c r="C177" s="2" t="s">
        <v>767</v>
      </c>
      <c r="D177" s="2" t="s">
        <v>768</v>
      </c>
      <c r="E177" s="2" t="s">
        <v>113</v>
      </c>
      <c r="F177" s="2" t="s">
        <v>506</v>
      </c>
      <c r="G177" s="2"/>
      <c r="H177" s="2" t="s">
        <v>51</v>
      </c>
      <c r="I177" s="2" t="s">
        <v>51</v>
      </c>
      <c r="J177" s="2" t="s">
        <v>688</v>
      </c>
      <c r="K177" s="2" t="s">
        <v>763</v>
      </c>
      <c r="L177" s="23">
        <v>51.870773999999997</v>
      </c>
      <c r="M177" s="23">
        <v>4.3018510000000001</v>
      </c>
      <c r="N177" s="16">
        <v>0</v>
      </c>
      <c r="O177" s="16" t="s">
        <v>769</v>
      </c>
      <c r="P177" s="2" t="s">
        <v>65</v>
      </c>
      <c r="Q177" s="2" t="s">
        <v>184</v>
      </c>
      <c r="R177" s="2"/>
      <c r="S177" s="2"/>
      <c r="T177" s="2" t="s">
        <v>98</v>
      </c>
      <c r="U177" s="2" t="s">
        <v>513</v>
      </c>
      <c r="V177" s="2"/>
      <c r="W177" s="3" t="s">
        <v>770</v>
      </c>
      <c r="X177" s="4"/>
      <c r="Y177" s="4"/>
      <c r="Z177" s="4"/>
      <c r="AA177" s="4"/>
      <c r="AB177" s="4"/>
      <c r="AC177" s="4"/>
      <c r="AD177" s="4"/>
      <c r="AE177" s="4"/>
      <c r="AF177" s="4"/>
      <c r="AG177" s="4"/>
      <c r="AH177" s="4"/>
      <c r="AI177" s="4"/>
      <c r="AJ177" s="4"/>
      <c r="AK177" s="4"/>
      <c r="AL177" s="4"/>
      <c r="AM177" s="4"/>
      <c r="AN177" s="4"/>
      <c r="AO177" s="4"/>
      <c r="AP177" s="4"/>
      <c r="AQ177" s="4"/>
      <c r="AR177" s="4"/>
      <c r="AS177" s="4"/>
    </row>
    <row r="178" spans="1:45" ht="21.75" customHeight="1" x14ac:dyDescent="0.45">
      <c r="A178" s="5" t="s">
        <v>771</v>
      </c>
      <c r="B178" s="6" t="s">
        <v>772</v>
      </c>
      <c r="C178" s="6" t="s">
        <v>773</v>
      </c>
      <c r="D178" s="6" t="s">
        <v>774</v>
      </c>
      <c r="E178" s="6" t="s">
        <v>113</v>
      </c>
      <c r="F178" s="6" t="s">
        <v>775</v>
      </c>
      <c r="G178" s="6"/>
      <c r="H178" s="6" t="s">
        <v>51</v>
      </c>
      <c r="I178" s="6" t="s">
        <v>51</v>
      </c>
      <c r="J178" s="6" t="s">
        <v>688</v>
      </c>
      <c r="K178" s="6" t="s">
        <v>776</v>
      </c>
      <c r="L178" s="24">
        <v>51.272100999999999</v>
      </c>
      <c r="M178" s="24">
        <v>3.8497270000000001</v>
      </c>
      <c r="N178" s="16">
        <v>800000</v>
      </c>
      <c r="O178" s="16">
        <v>800000</v>
      </c>
      <c r="P178" s="6" t="s">
        <v>75</v>
      </c>
      <c r="Q178" s="6" t="s">
        <v>75</v>
      </c>
      <c r="R178" s="6">
        <v>2022</v>
      </c>
      <c r="S178" s="6"/>
      <c r="T178" s="6" t="s">
        <v>54</v>
      </c>
      <c r="U178" s="6"/>
      <c r="V178" s="6"/>
      <c r="W178" s="7" t="s">
        <v>777</v>
      </c>
      <c r="X178" s="8"/>
      <c r="Y178" s="8"/>
      <c r="Z178" s="8"/>
      <c r="AA178" s="8"/>
      <c r="AB178" s="8"/>
      <c r="AC178" s="8"/>
      <c r="AD178" s="8"/>
      <c r="AE178" s="8"/>
      <c r="AF178" s="8"/>
      <c r="AG178" s="8"/>
      <c r="AH178" s="8"/>
      <c r="AI178" s="8"/>
      <c r="AJ178" s="8"/>
      <c r="AK178" s="8"/>
      <c r="AL178" s="8"/>
      <c r="AM178" s="8"/>
      <c r="AN178" s="8"/>
      <c r="AO178" s="8"/>
      <c r="AP178" s="8"/>
      <c r="AQ178" s="8"/>
      <c r="AR178" s="8"/>
      <c r="AS178" s="8"/>
    </row>
    <row r="179" spans="1:45" ht="42.75" customHeight="1" x14ac:dyDescent="0.45">
      <c r="A179" s="5" t="s">
        <v>911</v>
      </c>
      <c r="B179" s="6" t="s">
        <v>912</v>
      </c>
      <c r="C179" s="6" t="s">
        <v>913</v>
      </c>
      <c r="D179" s="6" t="s">
        <v>914</v>
      </c>
      <c r="E179" s="6" t="s">
        <v>113</v>
      </c>
      <c r="F179" s="6" t="s">
        <v>113</v>
      </c>
      <c r="G179" s="6"/>
      <c r="H179" s="6" t="s">
        <v>844</v>
      </c>
      <c r="I179" s="6" t="s">
        <v>844</v>
      </c>
      <c r="J179" s="6" t="s">
        <v>844</v>
      </c>
      <c r="K179" s="6" t="s">
        <v>844</v>
      </c>
      <c r="L179" s="24">
        <v>52.127000000000002</v>
      </c>
      <c r="M179" s="24">
        <v>3.956</v>
      </c>
      <c r="N179" s="16">
        <v>2500000</v>
      </c>
      <c r="O179" s="16">
        <v>2500000</v>
      </c>
      <c r="P179" s="6" t="s">
        <v>65</v>
      </c>
      <c r="Q179" s="6" t="s">
        <v>184</v>
      </c>
      <c r="R179" s="6">
        <v>2019</v>
      </c>
      <c r="S179" s="6">
        <v>2026</v>
      </c>
      <c r="T179" s="6" t="s">
        <v>86</v>
      </c>
      <c r="U179" s="6" t="s">
        <v>915</v>
      </c>
      <c r="V179" s="6"/>
      <c r="W179" s="7" t="s">
        <v>916</v>
      </c>
      <c r="X179" s="8"/>
      <c r="Y179" s="8"/>
      <c r="Z179" s="8"/>
      <c r="AA179" s="8"/>
      <c r="AB179" s="8"/>
      <c r="AC179" s="8"/>
      <c r="AD179" s="8"/>
      <c r="AE179" s="8"/>
      <c r="AF179" s="8"/>
      <c r="AG179" s="8"/>
      <c r="AH179" s="8"/>
      <c r="AI179" s="8"/>
      <c r="AJ179" s="8"/>
      <c r="AK179" s="8"/>
      <c r="AL179" s="8"/>
      <c r="AM179" s="8"/>
      <c r="AN179" s="8"/>
      <c r="AO179" s="8"/>
      <c r="AP179" s="8"/>
      <c r="AQ179" s="8"/>
      <c r="AR179" s="8"/>
      <c r="AS179" s="8"/>
    </row>
    <row r="180" spans="1:45" ht="74.25" customHeight="1" x14ac:dyDescent="0.45">
      <c r="A180" s="1" t="s">
        <v>917</v>
      </c>
      <c r="B180" s="2" t="s">
        <v>918</v>
      </c>
      <c r="C180" s="2" t="s">
        <v>919</v>
      </c>
      <c r="D180" s="2" t="s">
        <v>920</v>
      </c>
      <c r="E180" s="2" t="s">
        <v>113</v>
      </c>
      <c r="F180" s="2" t="s">
        <v>113</v>
      </c>
      <c r="G180" s="2"/>
      <c r="H180" s="2" t="s">
        <v>844</v>
      </c>
      <c r="I180" s="2" t="s">
        <v>844</v>
      </c>
      <c r="J180" s="2" t="s">
        <v>844</v>
      </c>
      <c r="K180" s="2" t="s">
        <v>844</v>
      </c>
      <c r="L180" s="23">
        <v>53.269444</v>
      </c>
      <c r="M180" s="23">
        <v>3.6274999999999999</v>
      </c>
      <c r="N180" s="16">
        <v>5000000</v>
      </c>
      <c r="O180" s="16">
        <v>5000000</v>
      </c>
      <c r="P180" s="2" t="s">
        <v>65</v>
      </c>
      <c r="Q180" s="2" t="s">
        <v>184</v>
      </c>
      <c r="R180" s="2">
        <v>2019</v>
      </c>
      <c r="S180" s="2">
        <v>2028</v>
      </c>
      <c r="T180" s="2" t="s">
        <v>54</v>
      </c>
      <c r="U180" s="2" t="s">
        <v>921</v>
      </c>
      <c r="V180" s="2"/>
      <c r="W180" s="2" t="s">
        <v>922</v>
      </c>
      <c r="X180" s="4"/>
      <c r="Y180" s="4"/>
      <c r="Z180" s="4"/>
      <c r="AA180" s="4"/>
      <c r="AB180" s="4"/>
      <c r="AC180" s="4"/>
      <c r="AD180" s="4"/>
      <c r="AE180" s="4"/>
      <c r="AF180" s="4"/>
      <c r="AG180" s="4"/>
      <c r="AH180" s="4"/>
      <c r="AI180" s="4"/>
      <c r="AJ180" s="4"/>
      <c r="AK180" s="4"/>
      <c r="AL180" s="4"/>
      <c r="AM180" s="4"/>
      <c r="AN180" s="4"/>
      <c r="AO180" s="4"/>
      <c r="AP180" s="4"/>
      <c r="AQ180" s="4"/>
      <c r="AR180" s="4"/>
      <c r="AS180" s="4"/>
    </row>
    <row r="181" spans="1:45" ht="42.75" customHeight="1" x14ac:dyDescent="0.45">
      <c r="A181" s="5" t="s">
        <v>923</v>
      </c>
      <c r="B181" s="6" t="s">
        <v>924</v>
      </c>
      <c r="C181" s="6" t="s">
        <v>925</v>
      </c>
      <c r="D181" s="6" t="s">
        <v>882</v>
      </c>
      <c r="E181" s="6" t="s">
        <v>113</v>
      </c>
      <c r="F181" s="6" t="s">
        <v>113</v>
      </c>
      <c r="G181" s="6"/>
      <c r="H181" s="6" t="s">
        <v>844</v>
      </c>
      <c r="I181" s="6" t="s">
        <v>844</v>
      </c>
      <c r="J181" s="6" t="s">
        <v>844</v>
      </c>
      <c r="K181" s="6" t="s">
        <v>844</v>
      </c>
      <c r="L181" s="24">
        <v>53.403888999999999</v>
      </c>
      <c r="M181" s="24">
        <v>4.2019440000000001</v>
      </c>
      <c r="N181" s="16">
        <v>5000000</v>
      </c>
      <c r="O181" s="16" t="s">
        <v>926</v>
      </c>
      <c r="P181" s="6" t="s">
        <v>65</v>
      </c>
      <c r="Q181" s="6" t="s">
        <v>184</v>
      </c>
      <c r="R181" s="6">
        <v>2022</v>
      </c>
      <c r="S181" s="6"/>
      <c r="T181" s="6" t="s">
        <v>54</v>
      </c>
      <c r="U181" s="6"/>
      <c r="V181" s="6"/>
      <c r="W181" s="7" t="s">
        <v>927</v>
      </c>
      <c r="X181" s="8"/>
      <c r="Y181" s="8"/>
      <c r="Z181" s="8"/>
      <c r="AA181" s="8"/>
      <c r="AB181" s="8"/>
      <c r="AC181" s="8"/>
      <c r="AD181" s="8"/>
      <c r="AE181" s="8"/>
      <c r="AF181" s="8"/>
      <c r="AG181" s="8"/>
      <c r="AH181" s="8"/>
      <c r="AI181" s="8"/>
      <c r="AJ181" s="8"/>
      <c r="AK181" s="8"/>
      <c r="AL181" s="8"/>
      <c r="AM181" s="8"/>
      <c r="AN181" s="8"/>
      <c r="AO181" s="8"/>
      <c r="AP181" s="8"/>
      <c r="AQ181" s="8"/>
      <c r="AR181" s="8"/>
      <c r="AS181" s="8"/>
    </row>
    <row r="182" spans="1:45" ht="84.75" customHeight="1" x14ac:dyDescent="0.45">
      <c r="A182" s="5" t="s">
        <v>1173</v>
      </c>
      <c r="B182" s="6" t="s">
        <v>1174</v>
      </c>
      <c r="C182" s="6" t="s">
        <v>1175</v>
      </c>
      <c r="D182" s="6" t="s">
        <v>1176</v>
      </c>
      <c r="E182" s="6" t="s">
        <v>113</v>
      </c>
      <c r="F182" s="6" t="s">
        <v>118</v>
      </c>
      <c r="G182" s="6"/>
      <c r="H182" s="6" t="s">
        <v>51</v>
      </c>
      <c r="I182" s="6" t="s">
        <v>51</v>
      </c>
      <c r="J182" s="6" t="s">
        <v>1033</v>
      </c>
      <c r="K182" s="6" t="s">
        <v>1177</v>
      </c>
      <c r="L182" s="24">
        <v>53.455535318738903</v>
      </c>
      <c r="M182" s="24">
        <v>6.83521944338752</v>
      </c>
      <c r="N182" s="16">
        <v>12000000</v>
      </c>
      <c r="O182" s="16">
        <v>12000000</v>
      </c>
      <c r="P182" s="6" t="s">
        <v>53</v>
      </c>
      <c r="Q182" s="6" t="s">
        <v>53</v>
      </c>
      <c r="R182" s="6">
        <v>2022</v>
      </c>
      <c r="S182" s="6"/>
      <c r="T182" s="6" t="s">
        <v>54</v>
      </c>
      <c r="U182" s="6" t="s">
        <v>1178</v>
      </c>
      <c r="V182" s="6" t="s">
        <v>107</v>
      </c>
      <c r="W182" s="6" t="s">
        <v>329</v>
      </c>
      <c r="X182" s="8"/>
      <c r="Y182" s="8"/>
      <c r="Z182" s="8"/>
      <c r="AA182" s="8"/>
      <c r="AB182" s="8"/>
      <c r="AC182" s="8"/>
      <c r="AD182" s="8"/>
      <c r="AE182" s="8"/>
      <c r="AF182" s="8"/>
      <c r="AG182" s="8"/>
      <c r="AH182" s="8"/>
      <c r="AI182" s="8"/>
      <c r="AJ182" s="8"/>
      <c r="AK182" s="8"/>
      <c r="AL182" s="8"/>
      <c r="AM182" s="8"/>
      <c r="AN182" s="8"/>
      <c r="AO182" s="8"/>
      <c r="AP182" s="8"/>
      <c r="AQ182" s="8"/>
      <c r="AR182" s="8"/>
      <c r="AS182" s="8"/>
    </row>
    <row r="183" spans="1:45" ht="21.75" customHeight="1" x14ac:dyDescent="0.45">
      <c r="A183" s="1" t="s">
        <v>1179</v>
      </c>
      <c r="B183" s="2" t="s">
        <v>1180</v>
      </c>
      <c r="C183" s="2" t="s">
        <v>1181</v>
      </c>
      <c r="D183" s="2" t="s">
        <v>1182</v>
      </c>
      <c r="E183" s="2" t="s">
        <v>113</v>
      </c>
      <c r="F183" s="2" t="s">
        <v>526</v>
      </c>
      <c r="G183" s="2"/>
      <c r="H183" s="2" t="s">
        <v>51</v>
      </c>
      <c r="I183" s="2" t="s">
        <v>51</v>
      </c>
      <c r="J183" s="2" t="s">
        <v>1033</v>
      </c>
      <c r="K183" s="2" t="s">
        <v>1163</v>
      </c>
      <c r="L183" s="23">
        <v>51.964596999999998</v>
      </c>
      <c r="M183" s="23">
        <v>4.0987539999999996</v>
      </c>
      <c r="N183" s="16">
        <v>5400000</v>
      </c>
      <c r="O183" s="16">
        <v>5400000</v>
      </c>
      <c r="P183" s="2" t="s">
        <v>65</v>
      </c>
      <c r="Q183" s="2" t="s">
        <v>184</v>
      </c>
      <c r="R183" s="2">
        <v>2020</v>
      </c>
      <c r="S183" s="2"/>
      <c r="T183" s="2" t="s">
        <v>54</v>
      </c>
      <c r="U183" s="2" t="s">
        <v>1183</v>
      </c>
      <c r="V183" s="2" t="s">
        <v>168</v>
      </c>
      <c r="W183" s="2" t="s">
        <v>1184</v>
      </c>
      <c r="X183" s="4"/>
      <c r="Y183" s="4"/>
      <c r="Z183" s="4"/>
      <c r="AA183" s="4"/>
      <c r="AB183" s="4"/>
      <c r="AC183" s="4"/>
      <c r="AD183" s="4"/>
      <c r="AE183" s="4"/>
      <c r="AF183" s="4"/>
      <c r="AG183" s="4"/>
      <c r="AH183" s="4"/>
      <c r="AI183" s="4"/>
      <c r="AJ183" s="4"/>
      <c r="AK183" s="4"/>
      <c r="AL183" s="4"/>
      <c r="AM183" s="4"/>
      <c r="AN183" s="4"/>
      <c r="AO183" s="4"/>
      <c r="AP183" s="4"/>
      <c r="AQ183" s="4"/>
      <c r="AR183" s="4"/>
      <c r="AS183" s="4"/>
    </row>
    <row r="184" spans="1:45" ht="21.75" customHeight="1" x14ac:dyDescent="0.45">
      <c r="A184" s="5" t="s">
        <v>1298</v>
      </c>
      <c r="B184" s="6" t="s">
        <v>1299</v>
      </c>
      <c r="C184" s="6" t="s">
        <v>1300</v>
      </c>
      <c r="D184" s="6" t="s">
        <v>1295</v>
      </c>
      <c r="E184" s="6" t="s">
        <v>113</v>
      </c>
      <c r="F184" s="6" t="s">
        <v>1301</v>
      </c>
      <c r="G184" s="6"/>
      <c r="H184" s="6" t="s">
        <v>1243</v>
      </c>
      <c r="I184" s="6" t="s">
        <v>1243</v>
      </c>
      <c r="J184" s="6" t="s">
        <v>1243</v>
      </c>
      <c r="K184" s="6" t="s">
        <v>1302</v>
      </c>
      <c r="L184" s="24">
        <v>52.401235980290799</v>
      </c>
      <c r="M184" s="24">
        <v>4.7966388340175001</v>
      </c>
      <c r="N184" s="16">
        <v>450000</v>
      </c>
      <c r="O184" s="16">
        <v>450000</v>
      </c>
      <c r="P184" s="6" t="s">
        <v>53</v>
      </c>
      <c r="Q184" s="6" t="s">
        <v>53</v>
      </c>
      <c r="R184" s="6">
        <v>2022</v>
      </c>
      <c r="S184" s="6"/>
      <c r="T184" s="6" t="s">
        <v>54</v>
      </c>
      <c r="U184" s="6" t="s">
        <v>1303</v>
      </c>
      <c r="V184" s="6"/>
      <c r="W184" s="7" t="s">
        <v>1304</v>
      </c>
      <c r="X184" s="8"/>
      <c r="Y184" s="8"/>
      <c r="Z184" s="8"/>
      <c r="AA184" s="8"/>
      <c r="AB184" s="8"/>
      <c r="AC184" s="8"/>
      <c r="AD184" s="8"/>
      <c r="AE184" s="8"/>
      <c r="AF184" s="8"/>
      <c r="AG184" s="8"/>
      <c r="AH184" s="8"/>
      <c r="AI184" s="8"/>
      <c r="AJ184" s="8"/>
      <c r="AK184" s="8"/>
      <c r="AL184" s="8"/>
      <c r="AM184" s="8"/>
      <c r="AN184" s="8"/>
      <c r="AO184" s="8"/>
      <c r="AP184" s="8"/>
      <c r="AQ184" s="8"/>
      <c r="AR184" s="8"/>
      <c r="AS184" s="8"/>
    </row>
    <row r="185" spans="1:45" ht="53.25" customHeight="1" x14ac:dyDescent="0.45">
      <c r="A185" s="1" t="s">
        <v>1305</v>
      </c>
      <c r="B185" s="2" t="s">
        <v>1306</v>
      </c>
      <c r="C185" s="2" t="s">
        <v>1307</v>
      </c>
      <c r="D185" s="2" t="s">
        <v>1308</v>
      </c>
      <c r="E185" s="2" t="s">
        <v>113</v>
      </c>
      <c r="F185" s="2" t="s">
        <v>1309</v>
      </c>
      <c r="G185" s="2"/>
      <c r="H185" s="2" t="s">
        <v>1243</v>
      </c>
      <c r="I185" s="2" t="s">
        <v>1243</v>
      </c>
      <c r="J185" s="2" t="s">
        <v>1243</v>
      </c>
      <c r="K185" s="2" t="s">
        <v>1243</v>
      </c>
      <c r="L185" s="23">
        <v>51.683010411502003</v>
      </c>
      <c r="M185" s="23">
        <v>4.5799052978367296</v>
      </c>
      <c r="N185" s="16">
        <v>0</v>
      </c>
      <c r="O185" s="16" t="s">
        <v>176</v>
      </c>
      <c r="P185" s="2" t="s">
        <v>65</v>
      </c>
      <c r="Q185" s="2" t="s">
        <v>499</v>
      </c>
      <c r="R185" s="2">
        <v>2024</v>
      </c>
      <c r="S185" s="2">
        <v>2029</v>
      </c>
      <c r="T185" s="2" t="s">
        <v>54</v>
      </c>
      <c r="U185" s="2" t="s">
        <v>1310</v>
      </c>
      <c r="V185" s="2"/>
      <c r="W185" s="3" t="s">
        <v>1311</v>
      </c>
      <c r="X185" s="4"/>
      <c r="Y185" s="4"/>
      <c r="Z185" s="4"/>
      <c r="AA185" s="4"/>
      <c r="AB185" s="4"/>
      <c r="AC185" s="4"/>
      <c r="AD185" s="4"/>
      <c r="AE185" s="4"/>
      <c r="AF185" s="4"/>
      <c r="AG185" s="4"/>
      <c r="AH185" s="4"/>
      <c r="AI185" s="4"/>
      <c r="AJ185" s="4"/>
      <c r="AK185" s="4"/>
      <c r="AL185" s="4"/>
      <c r="AM185" s="4"/>
      <c r="AN185" s="4"/>
      <c r="AO185" s="4"/>
      <c r="AP185" s="4"/>
      <c r="AQ185" s="4"/>
      <c r="AR185" s="4"/>
      <c r="AS185" s="4"/>
    </row>
    <row r="186" spans="1:45" ht="32.25" customHeight="1" x14ac:dyDescent="0.45">
      <c r="A186" s="5" t="s">
        <v>1312</v>
      </c>
      <c r="B186" s="6" t="s">
        <v>1313</v>
      </c>
      <c r="C186" s="6" t="s">
        <v>1314</v>
      </c>
      <c r="D186" s="6" t="s">
        <v>1315</v>
      </c>
      <c r="E186" s="6" t="s">
        <v>113</v>
      </c>
      <c r="F186" s="6" t="s">
        <v>1316</v>
      </c>
      <c r="G186" s="6"/>
      <c r="H186" s="6" t="s">
        <v>1243</v>
      </c>
      <c r="I186" s="6" t="s">
        <v>1243</v>
      </c>
      <c r="J186" s="6" t="s">
        <v>1243</v>
      </c>
      <c r="K186" s="6" t="s">
        <v>1243</v>
      </c>
      <c r="L186" s="24">
        <v>52.6099022199137</v>
      </c>
      <c r="M186" s="24">
        <v>4.7620777325289296</v>
      </c>
      <c r="N186" s="16">
        <v>50000</v>
      </c>
      <c r="O186" s="16">
        <v>50000</v>
      </c>
      <c r="P186" s="6" t="s">
        <v>53</v>
      </c>
      <c r="Q186" s="6" t="s">
        <v>53</v>
      </c>
      <c r="R186" s="6">
        <v>2022</v>
      </c>
      <c r="S186" s="6"/>
      <c r="T186" s="6" t="s">
        <v>54</v>
      </c>
      <c r="U186" s="6" t="s">
        <v>1317</v>
      </c>
      <c r="V186" s="6"/>
      <c r="W186" s="7" t="s">
        <v>1318</v>
      </c>
      <c r="X186" s="8"/>
      <c r="Y186" s="8"/>
      <c r="Z186" s="8"/>
      <c r="AA186" s="8"/>
      <c r="AB186" s="8"/>
      <c r="AC186" s="8"/>
      <c r="AD186" s="8"/>
      <c r="AE186" s="8"/>
      <c r="AF186" s="8"/>
      <c r="AG186" s="8"/>
      <c r="AH186" s="8"/>
      <c r="AI186" s="8"/>
      <c r="AJ186" s="8"/>
      <c r="AK186" s="8"/>
      <c r="AL186" s="8"/>
      <c r="AM186" s="8"/>
      <c r="AN186" s="8"/>
      <c r="AO186" s="8"/>
      <c r="AP186" s="8"/>
      <c r="AQ186" s="8"/>
      <c r="AR186" s="8"/>
      <c r="AS186" s="8"/>
    </row>
    <row r="187" spans="1:45" ht="42.75" customHeight="1" x14ac:dyDescent="0.45">
      <c r="A187" s="1" t="s">
        <v>344</v>
      </c>
      <c r="B187" s="2" t="s">
        <v>345</v>
      </c>
      <c r="C187" s="2" t="s">
        <v>346</v>
      </c>
      <c r="D187" s="2" t="s">
        <v>347</v>
      </c>
      <c r="E187" s="2" t="s">
        <v>348</v>
      </c>
      <c r="F187" s="2" t="s">
        <v>349</v>
      </c>
      <c r="G187" s="2"/>
      <c r="H187" s="2" t="s">
        <v>51</v>
      </c>
      <c r="I187" s="2" t="s">
        <v>51</v>
      </c>
      <c r="J187" s="2" t="s">
        <v>157</v>
      </c>
      <c r="K187" s="2" t="s">
        <v>350</v>
      </c>
      <c r="L187" s="23">
        <v>59.06071</v>
      </c>
      <c r="M187" s="23">
        <v>9.6905000000000001</v>
      </c>
      <c r="N187" s="16">
        <v>400000</v>
      </c>
      <c r="O187" s="16">
        <v>400000</v>
      </c>
      <c r="P187" s="2" t="s">
        <v>75</v>
      </c>
      <c r="Q187" s="2" t="s">
        <v>75</v>
      </c>
      <c r="R187" s="2">
        <v>2016</v>
      </c>
      <c r="S187" s="2"/>
      <c r="T187" s="2" t="s">
        <v>447</v>
      </c>
      <c r="U187" s="2" t="s">
        <v>351</v>
      </c>
      <c r="V187" s="2"/>
      <c r="W187" s="3" t="s">
        <v>352</v>
      </c>
      <c r="X187" s="4"/>
      <c r="Y187" s="4"/>
      <c r="Z187" s="4"/>
      <c r="AA187" s="4"/>
      <c r="AB187" s="4"/>
      <c r="AC187" s="4"/>
      <c r="AD187" s="4"/>
      <c r="AE187" s="4"/>
      <c r="AF187" s="4"/>
      <c r="AG187" s="4"/>
      <c r="AH187" s="4"/>
      <c r="AI187" s="4"/>
      <c r="AJ187" s="4"/>
      <c r="AK187" s="4"/>
      <c r="AL187" s="4"/>
      <c r="AM187" s="4"/>
      <c r="AN187" s="4"/>
      <c r="AO187" s="4"/>
      <c r="AP187" s="4"/>
      <c r="AQ187" s="4"/>
      <c r="AR187" s="4"/>
      <c r="AS187" s="4"/>
    </row>
    <row r="188" spans="1:45" ht="21.75" customHeight="1" x14ac:dyDescent="0.45">
      <c r="A188" s="1" t="s">
        <v>407</v>
      </c>
      <c r="B188" s="2" t="s">
        <v>408</v>
      </c>
      <c r="C188" s="2" t="s">
        <v>409</v>
      </c>
      <c r="D188" s="2" t="s">
        <v>410</v>
      </c>
      <c r="E188" s="2" t="s">
        <v>348</v>
      </c>
      <c r="F188" s="2" t="s">
        <v>411</v>
      </c>
      <c r="G188" s="2"/>
      <c r="H188" s="2" t="s">
        <v>51</v>
      </c>
      <c r="I188" s="2" t="s">
        <v>51</v>
      </c>
      <c r="J188" s="2" t="s">
        <v>412</v>
      </c>
      <c r="K188" s="2" t="s">
        <v>413</v>
      </c>
      <c r="L188" s="23">
        <v>63.316278777620703</v>
      </c>
      <c r="M188" s="23">
        <v>9.1421349234402101</v>
      </c>
      <c r="N188" s="16">
        <v>180000</v>
      </c>
      <c r="O188" s="16">
        <v>180000</v>
      </c>
      <c r="P188" s="2" t="s">
        <v>53</v>
      </c>
      <c r="Q188" s="2" t="s">
        <v>53</v>
      </c>
      <c r="R188" s="2">
        <v>2024</v>
      </c>
      <c r="S188" s="2"/>
      <c r="T188" s="2" t="s">
        <v>54</v>
      </c>
      <c r="U188" s="2"/>
      <c r="V188" s="2"/>
      <c r="W188" s="3" t="s">
        <v>414</v>
      </c>
      <c r="X188" s="4"/>
      <c r="Y188" s="4"/>
      <c r="Z188" s="4"/>
      <c r="AA188" s="4"/>
      <c r="AB188" s="4"/>
      <c r="AC188" s="4"/>
      <c r="AD188" s="4"/>
      <c r="AE188" s="4"/>
      <c r="AF188" s="4"/>
      <c r="AG188" s="4"/>
      <c r="AH188" s="4"/>
      <c r="AI188" s="4"/>
      <c r="AJ188" s="4"/>
      <c r="AK188" s="4"/>
      <c r="AL188" s="4"/>
      <c r="AM188" s="4"/>
      <c r="AN188" s="4"/>
      <c r="AO188" s="4"/>
      <c r="AP188" s="4"/>
      <c r="AQ188" s="4"/>
      <c r="AR188" s="4"/>
      <c r="AS188" s="4"/>
    </row>
    <row r="189" spans="1:45" ht="42.75" customHeight="1" x14ac:dyDescent="0.45">
      <c r="A189" s="5" t="s">
        <v>553</v>
      </c>
      <c r="B189" s="6" t="s">
        <v>554</v>
      </c>
      <c r="C189" s="6" t="s">
        <v>555</v>
      </c>
      <c r="D189" s="6" t="s">
        <v>556</v>
      </c>
      <c r="E189" s="6" t="s">
        <v>348</v>
      </c>
      <c r="F189" s="6" t="s">
        <v>557</v>
      </c>
      <c r="G189" s="6"/>
      <c r="H189" s="6" t="s">
        <v>51</v>
      </c>
      <c r="I189" s="6" t="s">
        <v>51</v>
      </c>
      <c r="J189" s="6" t="s">
        <v>476</v>
      </c>
      <c r="K189" s="6" t="s">
        <v>558</v>
      </c>
      <c r="L189" s="24">
        <v>60.804393852542297</v>
      </c>
      <c r="M189" s="24">
        <v>5.0413283350439499</v>
      </c>
      <c r="N189" s="16">
        <v>0</v>
      </c>
      <c r="O189" s="16" t="s">
        <v>176</v>
      </c>
      <c r="P189" s="6" t="s">
        <v>53</v>
      </c>
      <c r="Q189" s="6" t="s">
        <v>53</v>
      </c>
      <c r="R189" s="6">
        <v>2024</v>
      </c>
      <c r="S189" s="6"/>
      <c r="T189" s="6" t="s">
        <v>54</v>
      </c>
      <c r="U189" s="6" t="s">
        <v>559</v>
      </c>
      <c r="V189" s="6" t="s">
        <v>560</v>
      </c>
      <c r="W189" s="7" t="s">
        <v>561</v>
      </c>
      <c r="X189" s="8"/>
      <c r="Y189" s="8"/>
      <c r="Z189" s="8"/>
      <c r="AA189" s="8"/>
      <c r="AB189" s="8"/>
      <c r="AC189" s="8"/>
      <c r="AD189" s="8"/>
      <c r="AE189" s="8"/>
      <c r="AF189" s="8"/>
      <c r="AG189" s="8"/>
      <c r="AH189" s="8"/>
      <c r="AI189" s="8"/>
      <c r="AJ189" s="8"/>
      <c r="AK189" s="8"/>
      <c r="AL189" s="8"/>
      <c r="AM189" s="8"/>
      <c r="AN189" s="8"/>
      <c r="AO189" s="8"/>
      <c r="AP189" s="8"/>
      <c r="AQ189" s="8"/>
      <c r="AR189" s="8"/>
      <c r="AS189" s="8"/>
    </row>
    <row r="190" spans="1:45" ht="32.25" customHeight="1" x14ac:dyDescent="0.45">
      <c r="A190" s="1" t="s">
        <v>562</v>
      </c>
      <c r="B190" s="2" t="s">
        <v>563</v>
      </c>
      <c r="C190" s="2" t="s">
        <v>564</v>
      </c>
      <c r="D190" s="2" t="s">
        <v>565</v>
      </c>
      <c r="E190" s="2" t="s">
        <v>348</v>
      </c>
      <c r="F190" s="2" t="s">
        <v>566</v>
      </c>
      <c r="G190" s="2"/>
      <c r="H190" s="2" t="s">
        <v>51</v>
      </c>
      <c r="I190" s="2" t="s">
        <v>51</v>
      </c>
      <c r="J190" s="2" t="s">
        <v>476</v>
      </c>
      <c r="K190" s="2" t="s">
        <v>567</v>
      </c>
      <c r="L190" s="23">
        <v>70.479598999999993</v>
      </c>
      <c r="M190" s="23">
        <v>24.262540999999999</v>
      </c>
      <c r="N190" s="16">
        <v>2000000</v>
      </c>
      <c r="O190" s="16" t="s">
        <v>568</v>
      </c>
      <c r="P190" s="2" t="s">
        <v>75</v>
      </c>
      <c r="Q190" s="2" t="s">
        <v>75</v>
      </c>
      <c r="R190" s="2">
        <v>2021</v>
      </c>
      <c r="S190" s="2"/>
      <c r="T190" s="2" t="s">
        <v>54</v>
      </c>
      <c r="U190" s="2"/>
      <c r="V190" s="2"/>
      <c r="W190" s="3" t="s">
        <v>569</v>
      </c>
      <c r="X190" s="4"/>
      <c r="Y190" s="4"/>
      <c r="Z190" s="4"/>
      <c r="AA190" s="4"/>
      <c r="AB190" s="4"/>
      <c r="AC190" s="4"/>
      <c r="AD190" s="4"/>
      <c r="AE190" s="4"/>
      <c r="AF190" s="4"/>
      <c r="AG190" s="4"/>
      <c r="AH190" s="4"/>
      <c r="AI190" s="4"/>
      <c r="AJ190" s="4"/>
      <c r="AK190" s="4"/>
      <c r="AL190" s="4"/>
      <c r="AM190" s="4"/>
      <c r="AN190" s="4"/>
      <c r="AO190" s="4"/>
      <c r="AP190" s="4"/>
      <c r="AQ190" s="4"/>
      <c r="AR190" s="4"/>
      <c r="AS190" s="4"/>
    </row>
    <row r="191" spans="1:45" ht="21.75" customHeight="1" x14ac:dyDescent="0.45">
      <c r="A191" s="1" t="s">
        <v>778</v>
      </c>
      <c r="B191" s="2" t="s">
        <v>779</v>
      </c>
      <c r="C191" s="2" t="s">
        <v>780</v>
      </c>
      <c r="D191" s="2" t="s">
        <v>781</v>
      </c>
      <c r="E191" s="2" t="s">
        <v>348</v>
      </c>
      <c r="F191" s="2" t="s">
        <v>782</v>
      </c>
      <c r="G191" s="2"/>
      <c r="H191" s="2" t="s">
        <v>51</v>
      </c>
      <c r="I191" s="2" t="s">
        <v>51</v>
      </c>
      <c r="J191" s="2" t="s">
        <v>688</v>
      </c>
      <c r="K191" s="2" t="s">
        <v>783</v>
      </c>
      <c r="L191" s="23">
        <v>66.311269999999993</v>
      </c>
      <c r="M191" s="23">
        <v>14.163360000000001</v>
      </c>
      <c r="N191" s="16">
        <v>1500000</v>
      </c>
      <c r="O191" s="16">
        <v>1500000</v>
      </c>
      <c r="P191" s="2" t="s">
        <v>53</v>
      </c>
      <c r="Q191" s="2" t="s">
        <v>784</v>
      </c>
      <c r="R191" s="2">
        <v>2021</v>
      </c>
      <c r="S191" s="2"/>
      <c r="T191" s="2" t="s">
        <v>54</v>
      </c>
      <c r="U191" s="2"/>
      <c r="V191" s="2"/>
      <c r="W191" s="3" t="s">
        <v>785</v>
      </c>
      <c r="X191" s="4"/>
      <c r="Y191" s="4"/>
      <c r="Z191" s="4"/>
      <c r="AA191" s="4"/>
      <c r="AB191" s="4"/>
      <c r="AC191" s="4"/>
      <c r="AD191" s="4"/>
      <c r="AE191" s="4"/>
      <c r="AF191" s="4"/>
      <c r="AG191" s="4"/>
      <c r="AH191" s="4"/>
      <c r="AI191" s="4"/>
      <c r="AJ191" s="4"/>
      <c r="AK191" s="4"/>
      <c r="AL191" s="4"/>
      <c r="AM191" s="4"/>
      <c r="AN191" s="4"/>
      <c r="AO191" s="4"/>
      <c r="AP191" s="4"/>
      <c r="AQ191" s="4"/>
      <c r="AR191" s="4"/>
      <c r="AS191" s="4"/>
    </row>
    <row r="192" spans="1:45" ht="32.25" customHeight="1" x14ac:dyDescent="0.45">
      <c r="A192" s="5" t="s">
        <v>786</v>
      </c>
      <c r="B192" s="6" t="s">
        <v>787</v>
      </c>
      <c r="C192" s="6" t="s">
        <v>788</v>
      </c>
      <c r="D192" s="6" t="s">
        <v>789</v>
      </c>
      <c r="E192" s="6" t="s">
        <v>348</v>
      </c>
      <c r="F192" s="6" t="s">
        <v>348</v>
      </c>
      <c r="G192" s="6"/>
      <c r="H192" s="6" t="s">
        <v>51</v>
      </c>
      <c r="I192" s="6" t="s">
        <v>51</v>
      </c>
      <c r="J192" s="6" t="s">
        <v>688</v>
      </c>
      <c r="K192" s="6" t="s">
        <v>790</v>
      </c>
      <c r="L192" s="24">
        <v>58.235300000000002</v>
      </c>
      <c r="M192" s="24">
        <v>1.37829</v>
      </c>
      <c r="N192" s="16">
        <v>1000000</v>
      </c>
      <c r="O192" s="16">
        <v>1000000</v>
      </c>
      <c r="P192" s="6" t="s">
        <v>75</v>
      </c>
      <c r="Q192" s="6" t="s">
        <v>75</v>
      </c>
      <c r="R192" s="6"/>
      <c r="S192" s="6">
        <v>1996</v>
      </c>
      <c r="T192" s="6" t="s">
        <v>447</v>
      </c>
      <c r="U192" s="6" t="s">
        <v>791</v>
      </c>
      <c r="V192" s="6"/>
      <c r="W192" s="7" t="s">
        <v>792</v>
      </c>
      <c r="X192" s="8"/>
      <c r="Y192" s="8"/>
      <c r="Z192" s="8"/>
      <c r="AA192" s="8"/>
      <c r="AB192" s="8"/>
      <c r="AC192" s="8"/>
      <c r="AD192" s="8"/>
      <c r="AE192" s="8"/>
      <c r="AF192" s="8"/>
      <c r="AG192" s="8"/>
      <c r="AH192" s="8"/>
      <c r="AI192" s="8"/>
      <c r="AJ192" s="8"/>
      <c r="AK192" s="8"/>
      <c r="AL192" s="8"/>
      <c r="AM192" s="8"/>
      <c r="AN192" s="8"/>
      <c r="AO192" s="8"/>
      <c r="AP192" s="8"/>
      <c r="AQ192" s="8"/>
      <c r="AR192" s="8"/>
      <c r="AS192" s="8"/>
    </row>
    <row r="193" spans="1:45" ht="21.75" customHeight="1" x14ac:dyDescent="0.45">
      <c r="A193" s="1" t="s">
        <v>793</v>
      </c>
      <c r="B193" s="2" t="s">
        <v>794</v>
      </c>
      <c r="C193" s="2" t="s">
        <v>572</v>
      </c>
      <c r="D193" s="2" t="s">
        <v>789</v>
      </c>
      <c r="E193" s="2" t="s">
        <v>348</v>
      </c>
      <c r="F193" s="2" t="s">
        <v>348</v>
      </c>
      <c r="G193" s="2"/>
      <c r="H193" s="2" t="s">
        <v>51</v>
      </c>
      <c r="I193" s="2" t="s">
        <v>51</v>
      </c>
      <c r="J193" s="2" t="s">
        <v>688</v>
      </c>
      <c r="K193" s="2" t="s">
        <v>790</v>
      </c>
      <c r="L193" s="23">
        <v>71.417619999999999</v>
      </c>
      <c r="M193" s="23">
        <v>21.049910000000001</v>
      </c>
      <c r="N193" s="16">
        <v>700000</v>
      </c>
      <c r="O193" s="16">
        <v>700000</v>
      </c>
      <c r="P193" s="2" t="s">
        <v>75</v>
      </c>
      <c r="Q193" s="2" t="s">
        <v>75</v>
      </c>
      <c r="R193" s="2"/>
      <c r="S193" s="2">
        <v>2008</v>
      </c>
      <c r="T193" s="2" t="s">
        <v>447</v>
      </c>
      <c r="U193" s="2"/>
      <c r="V193" s="2"/>
      <c r="W193" s="3" t="s">
        <v>795</v>
      </c>
      <c r="X193" s="4"/>
      <c r="Y193" s="4"/>
      <c r="Z193" s="4"/>
      <c r="AA193" s="4"/>
      <c r="AB193" s="4"/>
      <c r="AC193" s="4"/>
      <c r="AD193" s="4"/>
      <c r="AE193" s="4"/>
      <c r="AF193" s="4"/>
      <c r="AG193" s="4"/>
      <c r="AH193" s="4"/>
      <c r="AI193" s="4"/>
      <c r="AJ193" s="4"/>
      <c r="AK193" s="4"/>
      <c r="AL193" s="4"/>
      <c r="AM193" s="4"/>
      <c r="AN193" s="4"/>
      <c r="AO193" s="4"/>
      <c r="AP193" s="4"/>
      <c r="AQ193" s="4"/>
      <c r="AR193" s="4"/>
      <c r="AS193" s="4"/>
    </row>
    <row r="194" spans="1:45" ht="32.25" customHeight="1" x14ac:dyDescent="0.45">
      <c r="A194" s="1" t="s">
        <v>928</v>
      </c>
      <c r="B194" s="2" t="s">
        <v>929</v>
      </c>
      <c r="C194" s="2" t="s">
        <v>930</v>
      </c>
      <c r="D194" s="2" t="s">
        <v>931</v>
      </c>
      <c r="E194" s="2" t="s">
        <v>348</v>
      </c>
      <c r="F194" s="2" t="s">
        <v>348</v>
      </c>
      <c r="G194" s="2"/>
      <c r="H194" s="2" t="s">
        <v>844</v>
      </c>
      <c r="I194" s="2" t="s">
        <v>844</v>
      </c>
      <c r="J194" s="2" t="s">
        <v>844</v>
      </c>
      <c r="K194" s="2" t="s">
        <v>844</v>
      </c>
      <c r="L194" s="23">
        <v>58.35</v>
      </c>
      <c r="M194" s="23">
        <v>1.9</v>
      </c>
      <c r="N194" s="16">
        <v>9000000</v>
      </c>
      <c r="O194" s="16">
        <v>9000000</v>
      </c>
      <c r="P194" s="2" t="s">
        <v>75</v>
      </c>
      <c r="Q194" s="2" t="s">
        <v>75</v>
      </c>
      <c r="R194" s="2">
        <v>2023</v>
      </c>
      <c r="S194" s="2"/>
      <c r="T194" s="2" t="s">
        <v>54</v>
      </c>
      <c r="U194" s="2" t="s">
        <v>932</v>
      </c>
      <c r="V194" s="2" t="s">
        <v>560</v>
      </c>
      <c r="W194" s="3" t="s">
        <v>933</v>
      </c>
      <c r="X194" s="4"/>
      <c r="Y194" s="4"/>
      <c r="Z194" s="4"/>
      <c r="AA194" s="4"/>
      <c r="AB194" s="4"/>
      <c r="AC194" s="4"/>
      <c r="AD194" s="4"/>
      <c r="AE194" s="4"/>
      <c r="AF194" s="4"/>
      <c r="AG194" s="4"/>
      <c r="AH194" s="4"/>
      <c r="AI194" s="4"/>
      <c r="AJ194" s="4"/>
      <c r="AK194" s="4"/>
      <c r="AL194" s="4"/>
      <c r="AM194" s="4"/>
      <c r="AN194" s="4"/>
      <c r="AO194" s="4"/>
      <c r="AP194" s="4"/>
      <c r="AQ194" s="4"/>
      <c r="AR194" s="4"/>
      <c r="AS194" s="4"/>
    </row>
    <row r="195" spans="1:45" ht="63.75" customHeight="1" x14ac:dyDescent="0.45">
      <c r="A195" s="5" t="s">
        <v>934</v>
      </c>
      <c r="B195" s="6" t="s">
        <v>935</v>
      </c>
      <c r="C195" s="6" t="s">
        <v>936</v>
      </c>
      <c r="D195" s="6" t="s">
        <v>937</v>
      </c>
      <c r="E195" s="6" t="s">
        <v>348</v>
      </c>
      <c r="F195" s="6" t="s">
        <v>348</v>
      </c>
      <c r="G195" s="6"/>
      <c r="H195" s="6" t="s">
        <v>844</v>
      </c>
      <c r="I195" s="6" t="s">
        <v>844</v>
      </c>
      <c r="J195" s="6" t="s">
        <v>844</v>
      </c>
      <c r="K195" s="6" t="s">
        <v>844</v>
      </c>
      <c r="L195" s="24">
        <v>57.794153847620699</v>
      </c>
      <c r="M195" s="24">
        <v>4.6362771191627896</v>
      </c>
      <c r="N195" s="16">
        <v>7000000</v>
      </c>
      <c r="O195" s="16">
        <v>7000000</v>
      </c>
      <c r="P195" s="6" t="s">
        <v>75</v>
      </c>
      <c r="Q195" s="6" t="s">
        <v>75</v>
      </c>
      <c r="R195" s="6">
        <v>2023</v>
      </c>
      <c r="S195" s="6"/>
      <c r="T195" s="6" t="s">
        <v>54</v>
      </c>
      <c r="U195" s="6" t="s">
        <v>938</v>
      </c>
      <c r="V195" s="6" t="s">
        <v>197</v>
      </c>
      <c r="W195" s="7" t="s">
        <v>939</v>
      </c>
      <c r="X195" s="8"/>
      <c r="Y195" s="8"/>
      <c r="Z195" s="8"/>
      <c r="AA195" s="8"/>
      <c r="AB195" s="8"/>
      <c r="AC195" s="8"/>
      <c r="AD195" s="8"/>
      <c r="AE195" s="8"/>
      <c r="AF195" s="8"/>
      <c r="AG195" s="8"/>
      <c r="AH195" s="8"/>
      <c r="AI195" s="8"/>
      <c r="AJ195" s="8"/>
      <c r="AK195" s="8"/>
      <c r="AL195" s="8"/>
      <c r="AM195" s="8"/>
      <c r="AN195" s="8"/>
      <c r="AO195" s="8"/>
      <c r="AP195" s="8"/>
      <c r="AQ195" s="8"/>
      <c r="AR195" s="8"/>
      <c r="AS195" s="8"/>
    </row>
    <row r="196" spans="1:45" ht="42.75" customHeight="1" x14ac:dyDescent="0.45">
      <c r="A196" s="1" t="s">
        <v>940</v>
      </c>
      <c r="B196" s="2" t="s">
        <v>941</v>
      </c>
      <c r="C196" s="2" t="s">
        <v>942</v>
      </c>
      <c r="D196" s="2" t="s">
        <v>943</v>
      </c>
      <c r="E196" s="2" t="s">
        <v>348</v>
      </c>
      <c r="F196" s="2" t="s">
        <v>348</v>
      </c>
      <c r="G196" s="2"/>
      <c r="H196" s="2" t="s">
        <v>844</v>
      </c>
      <c r="I196" s="2" t="s">
        <v>844</v>
      </c>
      <c r="J196" s="2" t="s">
        <v>844</v>
      </c>
      <c r="K196" s="2" t="s">
        <v>844</v>
      </c>
      <c r="L196" s="23">
        <v>57.716040866979299</v>
      </c>
      <c r="M196" s="23">
        <v>4.9638141536219296</v>
      </c>
      <c r="N196" s="16">
        <v>5000000</v>
      </c>
      <c r="O196" s="16">
        <v>5000000</v>
      </c>
      <c r="P196" s="2" t="s">
        <v>75</v>
      </c>
      <c r="Q196" s="2" t="s">
        <v>75</v>
      </c>
      <c r="R196" s="2">
        <v>2023</v>
      </c>
      <c r="S196" s="2"/>
      <c r="T196" s="2" t="s">
        <v>54</v>
      </c>
      <c r="U196" s="2" t="s">
        <v>944</v>
      </c>
      <c r="V196" s="2" t="s">
        <v>197</v>
      </c>
      <c r="W196" s="3" t="s">
        <v>945</v>
      </c>
      <c r="X196" s="4"/>
      <c r="Y196" s="4"/>
      <c r="Z196" s="4"/>
      <c r="AA196" s="4"/>
      <c r="AB196" s="4"/>
      <c r="AC196" s="4"/>
      <c r="AD196" s="4"/>
      <c r="AE196" s="4"/>
      <c r="AF196" s="4"/>
      <c r="AG196" s="4"/>
      <c r="AH196" s="4"/>
      <c r="AI196" s="4"/>
      <c r="AJ196" s="4"/>
      <c r="AK196" s="4"/>
      <c r="AL196" s="4"/>
      <c r="AM196" s="4"/>
      <c r="AN196" s="4"/>
      <c r="AO196" s="4"/>
      <c r="AP196" s="4"/>
      <c r="AQ196" s="4"/>
      <c r="AR196" s="4"/>
      <c r="AS196" s="4"/>
    </row>
    <row r="197" spans="1:45" ht="74.25" customHeight="1" x14ac:dyDescent="0.45">
      <c r="A197" s="5" t="s">
        <v>946</v>
      </c>
      <c r="B197" s="6" t="s">
        <v>947</v>
      </c>
      <c r="C197" s="6" t="s">
        <v>948</v>
      </c>
      <c r="D197" s="6" t="s">
        <v>949</v>
      </c>
      <c r="E197" s="6" t="s">
        <v>348</v>
      </c>
      <c r="F197" s="6" t="s">
        <v>348</v>
      </c>
      <c r="G197" s="6"/>
      <c r="H197" s="6" t="s">
        <v>844</v>
      </c>
      <c r="I197" s="6" t="s">
        <v>844</v>
      </c>
      <c r="J197" s="6" t="s">
        <v>844</v>
      </c>
      <c r="K197" s="6" t="s">
        <v>844</v>
      </c>
      <c r="L197" s="24">
        <v>60.458351</v>
      </c>
      <c r="M197" s="24">
        <v>3.1628219999999998</v>
      </c>
      <c r="N197" s="16">
        <v>5000000</v>
      </c>
      <c r="O197" s="16">
        <v>5000000</v>
      </c>
      <c r="P197" s="6" t="s">
        <v>75</v>
      </c>
      <c r="Q197" s="6" t="s">
        <v>75</v>
      </c>
      <c r="R197" s="6">
        <v>2022</v>
      </c>
      <c r="S197" s="6"/>
      <c r="T197" s="6" t="s">
        <v>54</v>
      </c>
      <c r="U197" s="6" t="s">
        <v>950</v>
      </c>
      <c r="V197" s="6"/>
      <c r="W197" s="7" t="s">
        <v>951</v>
      </c>
      <c r="X197" s="8"/>
      <c r="Y197" s="8"/>
      <c r="Z197" s="8"/>
      <c r="AA197" s="8"/>
      <c r="AB197" s="8"/>
      <c r="AC197" s="8"/>
      <c r="AD197" s="8"/>
      <c r="AE197" s="8"/>
      <c r="AF197" s="8"/>
      <c r="AG197" s="8"/>
      <c r="AH197" s="8"/>
      <c r="AI197" s="8"/>
      <c r="AJ197" s="8"/>
      <c r="AK197" s="8"/>
      <c r="AL197" s="8"/>
      <c r="AM197" s="8"/>
      <c r="AN197" s="8"/>
      <c r="AO197" s="8"/>
      <c r="AP197" s="8"/>
      <c r="AQ197" s="8"/>
      <c r="AR197" s="8"/>
      <c r="AS197" s="8"/>
    </row>
    <row r="198" spans="1:45" ht="32.25" customHeight="1" x14ac:dyDescent="0.45">
      <c r="A198" s="1" t="s">
        <v>952</v>
      </c>
      <c r="B198" s="2" t="s">
        <v>953</v>
      </c>
      <c r="C198" s="2" t="s">
        <v>954</v>
      </c>
      <c r="D198" s="2" t="s">
        <v>955</v>
      </c>
      <c r="E198" s="2" t="s">
        <v>348</v>
      </c>
      <c r="F198" s="2" t="s">
        <v>956</v>
      </c>
      <c r="G198" s="2"/>
      <c r="H198" s="2" t="s">
        <v>844</v>
      </c>
      <c r="I198" s="2" t="s">
        <v>844</v>
      </c>
      <c r="J198" s="2" t="s">
        <v>844</v>
      </c>
      <c r="K198" s="2" t="s">
        <v>901</v>
      </c>
      <c r="L198" s="23">
        <v>60.540170000000003</v>
      </c>
      <c r="M198" s="23">
        <v>4.8883299999999998</v>
      </c>
      <c r="N198" s="16">
        <v>5000000</v>
      </c>
      <c r="O198" s="16" t="s">
        <v>957</v>
      </c>
      <c r="P198" s="2" t="s">
        <v>75</v>
      </c>
      <c r="Q198" s="2" t="s">
        <v>75</v>
      </c>
      <c r="R198" s="2">
        <v>2016</v>
      </c>
      <c r="S198" s="2"/>
      <c r="T198" s="2" t="s">
        <v>86</v>
      </c>
      <c r="U198" s="2" t="s">
        <v>958</v>
      </c>
      <c r="V198" s="2"/>
      <c r="W198" s="3" t="s">
        <v>959</v>
      </c>
      <c r="X198" s="4"/>
      <c r="Y198" s="4"/>
      <c r="Z198" s="4"/>
      <c r="AA198" s="4"/>
      <c r="AB198" s="4"/>
      <c r="AC198" s="4"/>
      <c r="AD198" s="4"/>
      <c r="AE198" s="4"/>
      <c r="AF198" s="4"/>
      <c r="AG198" s="4"/>
      <c r="AH198" s="4"/>
      <c r="AI198" s="4"/>
      <c r="AJ198" s="4"/>
      <c r="AK198" s="4"/>
      <c r="AL198" s="4"/>
      <c r="AM198" s="4"/>
      <c r="AN198" s="4"/>
      <c r="AO198" s="4"/>
      <c r="AP198" s="4"/>
      <c r="AQ198" s="4"/>
      <c r="AR198" s="4"/>
      <c r="AS198" s="4"/>
    </row>
    <row r="199" spans="1:45" ht="42.75" customHeight="1" x14ac:dyDescent="0.45">
      <c r="A199" s="5" t="s">
        <v>960</v>
      </c>
      <c r="B199" s="6" t="s">
        <v>961</v>
      </c>
      <c r="C199" s="6" t="s">
        <v>564</v>
      </c>
      <c r="D199" s="6" t="s">
        <v>962</v>
      </c>
      <c r="E199" s="6" t="s">
        <v>348</v>
      </c>
      <c r="F199" s="6" t="s">
        <v>963</v>
      </c>
      <c r="G199" s="6"/>
      <c r="H199" s="6" t="s">
        <v>844</v>
      </c>
      <c r="I199" s="6" t="s">
        <v>844</v>
      </c>
      <c r="J199" s="6" t="s">
        <v>844</v>
      </c>
      <c r="K199" s="6" t="s">
        <v>844</v>
      </c>
      <c r="L199" s="24">
        <v>71.816666999999995</v>
      </c>
      <c r="M199" s="24">
        <v>24.933333000000001</v>
      </c>
      <c r="N199" s="16">
        <v>6000000</v>
      </c>
      <c r="O199" s="16">
        <v>6000000</v>
      </c>
      <c r="P199" s="6" t="s">
        <v>75</v>
      </c>
      <c r="Q199" s="6" t="s">
        <v>75</v>
      </c>
      <c r="R199" s="6">
        <v>2021</v>
      </c>
      <c r="S199" s="6"/>
      <c r="T199" s="6" t="s">
        <v>54</v>
      </c>
      <c r="U199" s="6"/>
      <c r="V199" s="6"/>
      <c r="W199" s="7" t="s">
        <v>964</v>
      </c>
      <c r="X199" s="8"/>
      <c r="Y199" s="8"/>
      <c r="Z199" s="8"/>
      <c r="AA199" s="8"/>
      <c r="AB199" s="8"/>
      <c r="AC199" s="8"/>
      <c r="AD199" s="8"/>
      <c r="AE199" s="8"/>
      <c r="AF199" s="8"/>
      <c r="AG199" s="8"/>
      <c r="AH199" s="8"/>
      <c r="AI199" s="8"/>
      <c r="AJ199" s="8"/>
      <c r="AK199" s="8"/>
      <c r="AL199" s="8"/>
      <c r="AM199" s="8"/>
      <c r="AN199" s="8"/>
      <c r="AO199" s="8"/>
      <c r="AP199" s="8"/>
      <c r="AQ199" s="8"/>
      <c r="AR199" s="8"/>
      <c r="AS199" s="8"/>
    </row>
    <row r="200" spans="1:45" ht="32.25" customHeight="1" x14ac:dyDescent="0.45">
      <c r="A200" s="1" t="s">
        <v>965</v>
      </c>
      <c r="B200" s="2" t="s">
        <v>966</v>
      </c>
      <c r="C200" s="2" t="s">
        <v>572</v>
      </c>
      <c r="D200" s="2" t="s">
        <v>949</v>
      </c>
      <c r="E200" s="2" t="s">
        <v>348</v>
      </c>
      <c r="F200" s="2" t="s">
        <v>348</v>
      </c>
      <c r="G200" s="2"/>
      <c r="H200" s="2" t="s">
        <v>844</v>
      </c>
      <c r="I200" s="2" t="s">
        <v>844</v>
      </c>
      <c r="J200" s="2" t="s">
        <v>844</v>
      </c>
      <c r="K200" s="2" t="s">
        <v>844</v>
      </c>
      <c r="L200" s="23">
        <v>60.652963</v>
      </c>
      <c r="M200" s="23">
        <v>4.0779509999999997</v>
      </c>
      <c r="N200" s="16">
        <v>10000000</v>
      </c>
      <c r="O200" s="16" t="s">
        <v>967</v>
      </c>
      <c r="P200" s="2" t="s">
        <v>75</v>
      </c>
      <c r="Q200" s="2" t="s">
        <v>75</v>
      </c>
      <c r="R200" s="2">
        <v>2022</v>
      </c>
      <c r="S200" s="2"/>
      <c r="T200" s="2" t="s">
        <v>54</v>
      </c>
      <c r="U200" s="2" t="s">
        <v>950</v>
      </c>
      <c r="V200" s="2"/>
      <c r="W200" s="3" t="s">
        <v>968</v>
      </c>
      <c r="X200" s="4"/>
      <c r="Y200" s="4"/>
      <c r="Z200" s="4"/>
      <c r="AA200" s="4"/>
      <c r="AB200" s="4"/>
      <c r="AC200" s="4"/>
      <c r="AD200" s="4"/>
      <c r="AE200" s="4"/>
      <c r="AF200" s="4"/>
      <c r="AG200" s="4"/>
      <c r="AH200" s="4"/>
      <c r="AI200" s="4"/>
      <c r="AJ200" s="4"/>
      <c r="AK200" s="4"/>
      <c r="AL200" s="4"/>
      <c r="AM200" s="4"/>
      <c r="AN200" s="4"/>
      <c r="AO200" s="4"/>
      <c r="AP200" s="4"/>
      <c r="AQ200" s="4"/>
      <c r="AR200" s="4"/>
      <c r="AS200" s="4"/>
    </row>
    <row r="201" spans="1:45" ht="21.75" customHeight="1" x14ac:dyDescent="0.45">
      <c r="A201" s="1" t="s">
        <v>1319</v>
      </c>
      <c r="B201" s="2" t="s">
        <v>1320</v>
      </c>
      <c r="C201" s="2" t="s">
        <v>1321</v>
      </c>
      <c r="D201" s="2" t="s">
        <v>1322</v>
      </c>
      <c r="E201" s="2" t="s">
        <v>348</v>
      </c>
      <c r="F201" s="2" t="s">
        <v>1323</v>
      </c>
      <c r="G201" s="2"/>
      <c r="H201" s="2" t="s">
        <v>1243</v>
      </c>
      <c r="I201" s="2" t="s">
        <v>1243</v>
      </c>
      <c r="J201" s="2" t="s">
        <v>1243</v>
      </c>
      <c r="K201" s="2" t="s">
        <v>1324</v>
      </c>
      <c r="L201" s="23">
        <v>59.183329999999998</v>
      </c>
      <c r="M201" s="23">
        <v>10.966659999999999</v>
      </c>
      <c r="N201" s="16">
        <v>630000</v>
      </c>
      <c r="O201" s="16">
        <v>630000</v>
      </c>
      <c r="P201" s="2" t="s">
        <v>53</v>
      </c>
      <c r="Q201" s="2" t="s">
        <v>53</v>
      </c>
      <c r="R201" s="2">
        <v>2021</v>
      </c>
      <c r="S201" s="2"/>
      <c r="T201" s="2" t="s">
        <v>54</v>
      </c>
      <c r="U201" s="2"/>
      <c r="V201" s="2"/>
      <c r="W201" s="3" t="s">
        <v>1325</v>
      </c>
      <c r="X201" s="4"/>
      <c r="Y201" s="4"/>
      <c r="Z201" s="4"/>
      <c r="AA201" s="4"/>
      <c r="AB201" s="4"/>
      <c r="AC201" s="4"/>
      <c r="AD201" s="4"/>
      <c r="AE201" s="4"/>
      <c r="AF201" s="4"/>
      <c r="AG201" s="4"/>
      <c r="AH201" s="4"/>
      <c r="AI201" s="4"/>
      <c r="AJ201" s="4"/>
      <c r="AK201" s="4"/>
      <c r="AL201" s="4"/>
      <c r="AM201" s="4"/>
      <c r="AN201" s="4"/>
      <c r="AO201" s="4"/>
      <c r="AP201" s="4"/>
      <c r="AQ201" s="4"/>
      <c r="AR201" s="4"/>
      <c r="AS201" s="4"/>
    </row>
    <row r="202" spans="1:45" ht="32.25" customHeight="1" x14ac:dyDescent="0.45">
      <c r="A202" s="5" t="s">
        <v>1326</v>
      </c>
      <c r="B202" s="6" t="s">
        <v>1327</v>
      </c>
      <c r="C202" s="6" t="s">
        <v>1328</v>
      </c>
      <c r="D202" s="6" t="s">
        <v>1329</v>
      </c>
      <c r="E202" s="6" t="s">
        <v>348</v>
      </c>
      <c r="F202" s="6" t="s">
        <v>1330</v>
      </c>
      <c r="G202" s="6"/>
      <c r="H202" s="6" t="s">
        <v>1243</v>
      </c>
      <c r="I202" s="6" t="s">
        <v>1243</v>
      </c>
      <c r="J202" s="6" t="s">
        <v>1243</v>
      </c>
      <c r="K202" s="6" t="s">
        <v>1243</v>
      </c>
      <c r="L202" s="24">
        <v>59.922510000000003</v>
      </c>
      <c r="M202" s="24">
        <v>10.68319</v>
      </c>
      <c r="N202" s="16">
        <v>350000</v>
      </c>
      <c r="O202" s="16">
        <v>350000</v>
      </c>
      <c r="P202" s="6" t="s">
        <v>75</v>
      </c>
      <c r="Q202" s="6" t="s">
        <v>75</v>
      </c>
      <c r="R202" s="6">
        <v>2016</v>
      </c>
      <c r="S202" s="6">
        <v>2029</v>
      </c>
      <c r="T202" s="6" t="s">
        <v>86</v>
      </c>
      <c r="U202" s="6" t="s">
        <v>1331</v>
      </c>
      <c r="V202" s="6"/>
      <c r="W202" s="7" t="s">
        <v>1332</v>
      </c>
      <c r="X202" s="8"/>
      <c r="Y202" s="8"/>
      <c r="Z202" s="8"/>
      <c r="AA202" s="8"/>
      <c r="AB202" s="8"/>
      <c r="AC202" s="8"/>
      <c r="AD202" s="8"/>
      <c r="AE202" s="8"/>
      <c r="AF202" s="8"/>
      <c r="AG202" s="8"/>
      <c r="AH202" s="8"/>
      <c r="AI202" s="8"/>
      <c r="AJ202" s="8"/>
      <c r="AK202" s="8"/>
      <c r="AL202" s="8"/>
      <c r="AM202" s="8"/>
      <c r="AN202" s="8"/>
      <c r="AO202" s="8"/>
      <c r="AP202" s="8"/>
      <c r="AQ202" s="8"/>
      <c r="AR202" s="8"/>
      <c r="AS202" s="8"/>
    </row>
    <row r="203" spans="1:45" ht="21.75" customHeight="1" x14ac:dyDescent="0.45">
      <c r="A203" s="1" t="s">
        <v>1333</v>
      </c>
      <c r="B203" s="2" t="s">
        <v>1334</v>
      </c>
      <c r="C203" s="2" t="s">
        <v>1335</v>
      </c>
      <c r="D203" s="2" t="s">
        <v>1336</v>
      </c>
      <c r="E203" s="2" t="s">
        <v>348</v>
      </c>
      <c r="F203" s="2" t="s">
        <v>1337</v>
      </c>
      <c r="G203" s="2"/>
      <c r="H203" s="2" t="s">
        <v>1243</v>
      </c>
      <c r="I203" s="2" t="s">
        <v>1243</v>
      </c>
      <c r="J203" s="2" t="s">
        <v>1243</v>
      </c>
      <c r="K203" s="2" t="s">
        <v>1243</v>
      </c>
      <c r="L203" s="23">
        <v>58.883330000000001</v>
      </c>
      <c r="M203" s="23">
        <v>5.69923</v>
      </c>
      <c r="N203" s="16">
        <v>100000</v>
      </c>
      <c r="O203" s="16">
        <v>100000</v>
      </c>
      <c r="P203" s="2" t="s">
        <v>53</v>
      </c>
      <c r="Q203" s="2" t="s">
        <v>53</v>
      </c>
      <c r="R203" s="2">
        <v>2021</v>
      </c>
      <c r="S203" s="2"/>
      <c r="T203" s="2" t="s">
        <v>54</v>
      </c>
      <c r="U203" s="2"/>
      <c r="V203" s="2"/>
      <c r="W203" s="3" t="s">
        <v>1338</v>
      </c>
      <c r="X203" s="4"/>
      <c r="Y203" s="4"/>
      <c r="Z203" s="4"/>
      <c r="AA203" s="4"/>
      <c r="AB203" s="4"/>
      <c r="AC203" s="4"/>
      <c r="AD203" s="4"/>
      <c r="AE203" s="4"/>
      <c r="AF203" s="4"/>
      <c r="AG203" s="4"/>
      <c r="AH203" s="4"/>
      <c r="AI203" s="4"/>
      <c r="AJ203" s="4"/>
      <c r="AK203" s="4"/>
      <c r="AL203" s="4"/>
      <c r="AM203" s="4"/>
      <c r="AN203" s="4"/>
      <c r="AO203" s="4"/>
      <c r="AP203" s="4"/>
      <c r="AQ203" s="4"/>
      <c r="AR203" s="4"/>
      <c r="AS203" s="4"/>
    </row>
    <row r="204" spans="1:45" ht="15" customHeight="1" x14ac:dyDescent="0.45">
      <c r="A204" s="5" t="s">
        <v>1339</v>
      </c>
      <c r="B204" s="6" t="s">
        <v>1340</v>
      </c>
      <c r="C204" s="6" t="s">
        <v>1341</v>
      </c>
      <c r="D204" s="6" t="s">
        <v>1342</v>
      </c>
      <c r="E204" s="6" t="s">
        <v>348</v>
      </c>
      <c r="F204" s="6" t="s">
        <v>1343</v>
      </c>
      <c r="G204" s="6"/>
      <c r="H204" s="6" t="s">
        <v>1243</v>
      </c>
      <c r="I204" s="6" t="s">
        <v>1243</v>
      </c>
      <c r="J204" s="6" t="s">
        <v>1243</v>
      </c>
      <c r="K204" s="6" t="s">
        <v>1243</v>
      </c>
      <c r="L204" s="24">
        <v>63.39875</v>
      </c>
      <c r="M204" s="24">
        <v>10.396179999999999</v>
      </c>
      <c r="N204" s="16">
        <v>220000</v>
      </c>
      <c r="O204" s="16">
        <v>220000</v>
      </c>
      <c r="P204" s="6" t="s">
        <v>53</v>
      </c>
      <c r="Q204" s="6" t="s">
        <v>53</v>
      </c>
      <c r="R204" s="6">
        <v>2020</v>
      </c>
      <c r="S204" s="6"/>
      <c r="T204" s="6" t="s">
        <v>54</v>
      </c>
      <c r="U204" s="6"/>
      <c r="V204" s="6"/>
      <c r="W204" s="7" t="s">
        <v>1344</v>
      </c>
      <c r="X204" s="8"/>
      <c r="Y204" s="8"/>
      <c r="Z204" s="8"/>
      <c r="AA204" s="8"/>
      <c r="AB204" s="8"/>
      <c r="AC204" s="8"/>
      <c r="AD204" s="8"/>
      <c r="AE204" s="8"/>
      <c r="AF204" s="8"/>
      <c r="AG204" s="8"/>
      <c r="AH204" s="8"/>
      <c r="AI204" s="8"/>
      <c r="AJ204" s="8"/>
      <c r="AK204" s="8"/>
      <c r="AL204" s="8"/>
      <c r="AM204" s="8"/>
      <c r="AN204" s="8"/>
      <c r="AO204" s="8"/>
      <c r="AP204" s="8"/>
      <c r="AQ204" s="8"/>
      <c r="AR204" s="8"/>
      <c r="AS204" s="8"/>
    </row>
    <row r="205" spans="1:45" ht="53.25" customHeight="1" x14ac:dyDescent="0.45">
      <c r="A205" s="1" t="s">
        <v>1345</v>
      </c>
      <c r="B205" s="2" t="s">
        <v>1346</v>
      </c>
      <c r="C205" s="2" t="s">
        <v>1347</v>
      </c>
      <c r="D205" s="2" t="s">
        <v>1295</v>
      </c>
      <c r="E205" s="2" t="s">
        <v>348</v>
      </c>
      <c r="F205" s="2" t="s">
        <v>1348</v>
      </c>
      <c r="G205" s="2"/>
      <c r="H205" s="2" t="s">
        <v>1243</v>
      </c>
      <c r="I205" s="2" t="s">
        <v>1243</v>
      </c>
      <c r="J205" s="2" t="s">
        <v>1243</v>
      </c>
      <c r="K205" s="2" t="s">
        <v>1243</v>
      </c>
      <c r="L205" s="23">
        <v>69.709129000000004</v>
      </c>
      <c r="M205" s="23">
        <v>19.014855000000001</v>
      </c>
      <c r="N205" s="16">
        <v>100000</v>
      </c>
      <c r="O205" s="16">
        <v>100000</v>
      </c>
      <c r="P205" s="2" t="s">
        <v>75</v>
      </c>
      <c r="Q205" s="2" t="s">
        <v>75</v>
      </c>
      <c r="R205" s="2">
        <v>2024</v>
      </c>
      <c r="S205" s="2">
        <v>2030</v>
      </c>
      <c r="T205" s="2" t="s">
        <v>54</v>
      </c>
      <c r="U205" s="2"/>
      <c r="V205" s="2"/>
      <c r="W205" s="2"/>
      <c r="X205" s="4"/>
      <c r="Y205" s="4"/>
      <c r="Z205" s="4"/>
      <c r="AA205" s="4"/>
      <c r="AB205" s="4"/>
      <c r="AC205" s="4"/>
      <c r="AD205" s="4"/>
      <c r="AE205" s="4"/>
      <c r="AF205" s="4"/>
      <c r="AG205" s="4"/>
      <c r="AH205" s="4"/>
      <c r="AI205" s="4"/>
      <c r="AJ205" s="4"/>
      <c r="AK205" s="4"/>
      <c r="AL205" s="4"/>
      <c r="AM205" s="4"/>
      <c r="AN205" s="4"/>
      <c r="AO205" s="4"/>
      <c r="AP205" s="4"/>
      <c r="AQ205" s="4"/>
      <c r="AR205" s="4"/>
      <c r="AS205" s="4"/>
    </row>
    <row r="206" spans="1:45" ht="42.75" customHeight="1" x14ac:dyDescent="0.45">
      <c r="A206" s="5" t="s">
        <v>969</v>
      </c>
      <c r="B206" s="6" t="s">
        <v>970</v>
      </c>
      <c r="C206" s="6" t="s">
        <v>971</v>
      </c>
      <c r="D206" s="6" t="s">
        <v>972</v>
      </c>
      <c r="E206" s="6" t="s">
        <v>973</v>
      </c>
      <c r="F206" s="6" t="s">
        <v>974</v>
      </c>
      <c r="G206" s="6"/>
      <c r="H206" s="6" t="s">
        <v>844</v>
      </c>
      <c r="I206" s="6" t="s">
        <v>844</v>
      </c>
      <c r="J206" s="6" t="s">
        <v>844</v>
      </c>
      <c r="K206" s="6" t="s">
        <v>975</v>
      </c>
      <c r="L206" s="24">
        <v>45.012681999999998</v>
      </c>
      <c r="M206" s="24">
        <v>25.188853999999999</v>
      </c>
      <c r="N206" s="16">
        <v>600000</v>
      </c>
      <c r="O206" s="16">
        <v>600000</v>
      </c>
      <c r="P206" s="6" t="s">
        <v>65</v>
      </c>
      <c r="Q206" s="6" t="s">
        <v>976</v>
      </c>
      <c r="R206" s="6"/>
      <c r="S206" s="6">
        <v>2029</v>
      </c>
      <c r="T206" s="6" t="s">
        <v>98</v>
      </c>
      <c r="U206" s="6" t="s">
        <v>977</v>
      </c>
      <c r="V206" s="6"/>
      <c r="W206" s="6" t="s">
        <v>978</v>
      </c>
      <c r="X206" s="8"/>
      <c r="Y206" s="8"/>
      <c r="Z206" s="8"/>
      <c r="AA206" s="8"/>
      <c r="AB206" s="8"/>
      <c r="AC206" s="8"/>
      <c r="AD206" s="8"/>
      <c r="AE206" s="8"/>
      <c r="AF206" s="8"/>
      <c r="AG206" s="8"/>
      <c r="AH206" s="8"/>
      <c r="AI206" s="8"/>
      <c r="AJ206" s="8"/>
      <c r="AK206" s="8"/>
      <c r="AL206" s="8"/>
      <c r="AM206" s="8"/>
      <c r="AN206" s="8"/>
      <c r="AO206" s="8"/>
      <c r="AP206" s="8"/>
      <c r="AQ206" s="8"/>
      <c r="AR206" s="8"/>
      <c r="AS206" s="8"/>
    </row>
    <row r="207" spans="1:45" ht="21.75" customHeight="1" x14ac:dyDescent="0.45">
      <c r="A207" s="5" t="s">
        <v>1460</v>
      </c>
      <c r="B207" s="6" t="s">
        <v>1461</v>
      </c>
      <c r="C207" s="6" t="s">
        <v>1462</v>
      </c>
      <c r="D207" s="6" t="s">
        <v>1463</v>
      </c>
      <c r="E207" s="6" t="s">
        <v>973</v>
      </c>
      <c r="F207" s="6" t="s">
        <v>1464</v>
      </c>
      <c r="G207" s="6"/>
      <c r="H207" s="6" t="s">
        <v>51</v>
      </c>
      <c r="I207" s="6" t="s">
        <v>51</v>
      </c>
      <c r="J207" s="6" t="s">
        <v>157</v>
      </c>
      <c r="K207" s="6" t="s">
        <v>1465</v>
      </c>
      <c r="L207" s="24">
        <v>45.291308000000001</v>
      </c>
      <c r="M207" s="24">
        <v>25.099062</v>
      </c>
      <c r="N207" s="16">
        <v>0</v>
      </c>
      <c r="O207" s="16" t="s">
        <v>176</v>
      </c>
      <c r="P207" s="6" t="s">
        <v>65</v>
      </c>
      <c r="Q207" s="6" t="s">
        <v>65</v>
      </c>
      <c r="R207" s="6">
        <v>2024</v>
      </c>
      <c r="S207" s="6"/>
      <c r="T207" s="6" t="s">
        <v>98</v>
      </c>
      <c r="U207" s="6" t="s">
        <v>1458</v>
      </c>
      <c r="V207" s="6"/>
      <c r="W207" s="6" t="s">
        <v>1466</v>
      </c>
      <c r="X207" s="8"/>
      <c r="Y207" s="8"/>
      <c r="Z207" s="8"/>
      <c r="AA207" s="8"/>
      <c r="AB207" s="8"/>
      <c r="AC207" s="8"/>
      <c r="AD207" s="8"/>
      <c r="AE207" s="8"/>
      <c r="AF207" s="8"/>
      <c r="AG207" s="8"/>
      <c r="AH207" s="8"/>
      <c r="AI207" s="8"/>
      <c r="AJ207" s="8"/>
      <c r="AK207" s="8"/>
      <c r="AL207" s="8"/>
      <c r="AM207" s="8"/>
      <c r="AN207" s="8"/>
      <c r="AO207" s="8"/>
      <c r="AP207" s="8"/>
      <c r="AQ207" s="8"/>
      <c r="AR207" s="8"/>
      <c r="AS207" s="8"/>
    </row>
    <row r="208" spans="1:45" ht="42.75" customHeight="1" x14ac:dyDescent="0.45">
      <c r="A208" s="5" t="s">
        <v>120</v>
      </c>
      <c r="B208" s="6" t="s">
        <v>121</v>
      </c>
      <c r="C208" s="6" t="s">
        <v>122</v>
      </c>
      <c r="D208" s="6" t="s">
        <v>123</v>
      </c>
      <c r="E208" s="6" t="s">
        <v>124</v>
      </c>
      <c r="F208" s="6" t="s">
        <v>125</v>
      </c>
      <c r="G208" s="6"/>
      <c r="H208" s="6" t="s">
        <v>84</v>
      </c>
      <c r="I208" s="6" t="s">
        <v>84</v>
      </c>
      <c r="J208" s="6" t="s">
        <v>85</v>
      </c>
      <c r="K208" s="6" t="s">
        <v>85</v>
      </c>
      <c r="L208" s="24">
        <v>59.35286</v>
      </c>
      <c r="M208" s="24">
        <v>18.101900000000001</v>
      </c>
      <c r="N208" s="16">
        <v>800000</v>
      </c>
      <c r="O208" s="16">
        <v>800000</v>
      </c>
      <c r="P208" s="6" t="s">
        <v>53</v>
      </c>
      <c r="Q208" s="6" t="s">
        <v>53</v>
      </c>
      <c r="R208" s="6">
        <v>2019</v>
      </c>
      <c r="S208" s="6"/>
      <c r="T208" s="6" t="s">
        <v>86</v>
      </c>
      <c r="U208" s="6" t="s">
        <v>126</v>
      </c>
      <c r="V208" s="6"/>
      <c r="W208" s="7" t="s">
        <v>127</v>
      </c>
      <c r="X208" s="8"/>
      <c r="Y208" s="8"/>
      <c r="Z208" s="8"/>
      <c r="AA208" s="8"/>
      <c r="AB208" s="8"/>
      <c r="AC208" s="8"/>
      <c r="AD208" s="8"/>
      <c r="AE208" s="8"/>
      <c r="AF208" s="8"/>
      <c r="AG208" s="8"/>
      <c r="AH208" s="8"/>
      <c r="AI208" s="8"/>
      <c r="AJ208" s="8"/>
      <c r="AK208" s="8"/>
      <c r="AL208" s="8"/>
      <c r="AM208" s="8"/>
      <c r="AN208" s="8"/>
      <c r="AO208" s="8"/>
      <c r="AP208" s="8"/>
      <c r="AQ208" s="8"/>
      <c r="AR208" s="8"/>
      <c r="AS208" s="8"/>
    </row>
    <row r="209" spans="1:45" ht="53.25" customHeight="1" x14ac:dyDescent="0.45">
      <c r="A209" s="1" t="s">
        <v>128</v>
      </c>
      <c r="B209" s="2" t="s">
        <v>129</v>
      </c>
      <c r="C209" s="2" t="s">
        <v>130</v>
      </c>
      <c r="D209" s="2" t="s">
        <v>131</v>
      </c>
      <c r="E209" s="2" t="s">
        <v>124</v>
      </c>
      <c r="F209" s="2" t="s">
        <v>132</v>
      </c>
      <c r="G209" s="2"/>
      <c r="H209" s="2" t="s">
        <v>84</v>
      </c>
      <c r="I209" s="2" t="s">
        <v>84</v>
      </c>
      <c r="J209" s="2" t="s">
        <v>85</v>
      </c>
      <c r="K209" s="2" t="s">
        <v>85</v>
      </c>
      <c r="L209" s="23">
        <v>56.869558676249298</v>
      </c>
      <c r="M209" s="23">
        <v>14.8369021278664</v>
      </c>
      <c r="N209" s="16">
        <v>200000</v>
      </c>
      <c r="O209" s="16">
        <v>200000</v>
      </c>
      <c r="P209" s="2" t="s">
        <v>65</v>
      </c>
      <c r="Q209" s="2" t="s">
        <v>133</v>
      </c>
      <c r="R209" s="2">
        <v>2021</v>
      </c>
      <c r="S209" s="2">
        <v>2030</v>
      </c>
      <c r="T209" s="2" t="s">
        <v>54</v>
      </c>
      <c r="U209" s="2"/>
      <c r="V209" s="2"/>
      <c r="W209" s="2" t="s">
        <v>134</v>
      </c>
      <c r="X209" s="4"/>
      <c r="Y209" s="4"/>
      <c r="Z209" s="4"/>
      <c r="AA209" s="4"/>
      <c r="AB209" s="4"/>
      <c r="AC209" s="4"/>
      <c r="AD209" s="4"/>
      <c r="AE209" s="4"/>
      <c r="AF209" s="4"/>
      <c r="AG209" s="4"/>
      <c r="AH209" s="4"/>
      <c r="AI209" s="4"/>
      <c r="AJ209" s="4"/>
      <c r="AK209" s="4"/>
      <c r="AL209" s="4"/>
      <c r="AM209" s="4"/>
      <c r="AN209" s="4"/>
      <c r="AO209" s="4"/>
      <c r="AP209" s="4"/>
      <c r="AQ209" s="4"/>
      <c r="AR209" s="4"/>
      <c r="AS209" s="4"/>
    </row>
    <row r="210" spans="1:45" ht="32.25" customHeight="1" x14ac:dyDescent="0.45">
      <c r="A210" s="5" t="s">
        <v>135</v>
      </c>
      <c r="B210" s="6" t="s">
        <v>136</v>
      </c>
      <c r="C210" s="6" t="s">
        <v>137</v>
      </c>
      <c r="D210" s="6" t="s">
        <v>138</v>
      </c>
      <c r="E210" s="6" t="s">
        <v>124</v>
      </c>
      <c r="F210" s="6" t="s">
        <v>139</v>
      </c>
      <c r="G210" s="6"/>
      <c r="H210" s="6" t="s">
        <v>84</v>
      </c>
      <c r="I210" s="6" t="s">
        <v>84</v>
      </c>
      <c r="J210" s="6" t="s">
        <v>85</v>
      </c>
      <c r="K210" s="6" t="s">
        <v>85</v>
      </c>
      <c r="L210" s="24">
        <v>64.7453</v>
      </c>
      <c r="M210" s="24">
        <v>21.0425</v>
      </c>
      <c r="N210" s="16">
        <v>140000</v>
      </c>
      <c r="O210" s="16">
        <v>140000</v>
      </c>
      <c r="P210" s="6" t="s">
        <v>53</v>
      </c>
      <c r="Q210" s="6" t="s">
        <v>53</v>
      </c>
      <c r="R210" s="6">
        <v>2023</v>
      </c>
      <c r="S210" s="6">
        <v>2027</v>
      </c>
      <c r="T210" s="6" t="s">
        <v>54</v>
      </c>
      <c r="U210" s="6"/>
      <c r="V210" s="6"/>
      <c r="W210" s="7" t="s">
        <v>140</v>
      </c>
      <c r="X210" s="8"/>
      <c r="Y210" s="8"/>
      <c r="Z210" s="8"/>
      <c r="AA210" s="8"/>
      <c r="AB210" s="8"/>
      <c r="AC210" s="8"/>
      <c r="AD210" s="8"/>
      <c r="AE210" s="8"/>
      <c r="AF210" s="8"/>
      <c r="AG210" s="8"/>
      <c r="AH210" s="8"/>
      <c r="AI210" s="8"/>
      <c r="AJ210" s="8"/>
      <c r="AK210" s="8"/>
      <c r="AL210" s="8"/>
      <c r="AM210" s="8"/>
      <c r="AN210" s="8"/>
      <c r="AO210" s="8"/>
      <c r="AP210" s="8"/>
      <c r="AQ210" s="8"/>
      <c r="AR210" s="8"/>
      <c r="AS210" s="8"/>
    </row>
    <row r="211" spans="1:45" ht="32.25" customHeight="1" x14ac:dyDescent="0.45">
      <c r="A211" s="5" t="s">
        <v>380</v>
      </c>
      <c r="B211" s="6" t="s">
        <v>381</v>
      </c>
      <c r="C211" s="6" t="s">
        <v>346</v>
      </c>
      <c r="D211" s="6" t="s">
        <v>382</v>
      </c>
      <c r="E211" s="6" t="s">
        <v>124</v>
      </c>
      <c r="F211" s="6" t="s">
        <v>383</v>
      </c>
      <c r="G211" s="6"/>
      <c r="H211" s="6" t="s">
        <v>51</v>
      </c>
      <c r="I211" s="6" t="s">
        <v>51</v>
      </c>
      <c r="J211" s="6" t="s">
        <v>157</v>
      </c>
      <c r="K211" s="6" t="s">
        <v>157</v>
      </c>
      <c r="L211" s="24">
        <v>57.715001000000001</v>
      </c>
      <c r="M211" s="24">
        <v>18.801590999999998</v>
      </c>
      <c r="N211" s="16">
        <v>1800000</v>
      </c>
      <c r="O211" s="16">
        <v>1800000</v>
      </c>
      <c r="P211" s="6" t="s">
        <v>53</v>
      </c>
      <c r="Q211" s="6" t="s">
        <v>53</v>
      </c>
      <c r="R211" s="6">
        <v>2021</v>
      </c>
      <c r="S211" s="6"/>
      <c r="T211" s="6" t="s">
        <v>54</v>
      </c>
      <c r="U211" s="6" t="s">
        <v>384</v>
      </c>
      <c r="V211" s="6"/>
      <c r="W211" s="7" t="s">
        <v>385</v>
      </c>
      <c r="X211" s="8"/>
      <c r="Y211" s="8"/>
      <c r="Z211" s="8"/>
      <c r="AA211" s="8"/>
      <c r="AB211" s="8"/>
      <c r="AC211" s="8"/>
      <c r="AD211" s="8"/>
      <c r="AE211" s="8"/>
      <c r="AF211" s="8"/>
      <c r="AG211" s="8"/>
      <c r="AH211" s="8"/>
      <c r="AI211" s="8"/>
      <c r="AJ211" s="8"/>
      <c r="AK211" s="8"/>
      <c r="AL211" s="8"/>
      <c r="AM211" s="8"/>
      <c r="AN211" s="8"/>
      <c r="AO211" s="8"/>
      <c r="AP211" s="8"/>
      <c r="AQ211" s="8"/>
      <c r="AR211" s="8"/>
      <c r="AS211" s="8"/>
    </row>
    <row r="212" spans="1:45" ht="32.25" customHeight="1" x14ac:dyDescent="0.45">
      <c r="A212" s="1" t="s">
        <v>803</v>
      </c>
      <c r="B212" s="2" t="s">
        <v>804</v>
      </c>
      <c r="C212" s="2" t="s">
        <v>555</v>
      </c>
      <c r="D212" s="2" t="s">
        <v>805</v>
      </c>
      <c r="E212" s="2" t="s">
        <v>124</v>
      </c>
      <c r="F212" s="2" t="s">
        <v>806</v>
      </c>
      <c r="G212" s="2"/>
      <c r="H212" s="2" t="s">
        <v>51</v>
      </c>
      <c r="I212" s="2" t="s">
        <v>51</v>
      </c>
      <c r="J212" s="2" t="s">
        <v>688</v>
      </c>
      <c r="K212" s="2" t="s">
        <v>763</v>
      </c>
      <c r="L212" s="23">
        <v>58.347329000000002</v>
      </c>
      <c r="M212" s="23">
        <v>11.423311999999999</v>
      </c>
      <c r="N212" s="16">
        <v>500000</v>
      </c>
      <c r="O212" s="16">
        <v>500000</v>
      </c>
      <c r="P212" s="2" t="s">
        <v>75</v>
      </c>
      <c r="Q212" s="2" t="s">
        <v>75</v>
      </c>
      <c r="R212" s="2">
        <v>2020</v>
      </c>
      <c r="S212" s="2"/>
      <c r="T212" s="2" t="s">
        <v>54</v>
      </c>
      <c r="U212" s="2"/>
      <c r="V212" s="2"/>
      <c r="W212" s="3" t="s">
        <v>807</v>
      </c>
      <c r="X212" s="4"/>
      <c r="Y212" s="4"/>
      <c r="Z212" s="4"/>
      <c r="AA212" s="4"/>
      <c r="AB212" s="4"/>
      <c r="AC212" s="4"/>
      <c r="AD212" s="4"/>
      <c r="AE212" s="4"/>
      <c r="AF212" s="4"/>
      <c r="AG212" s="4"/>
      <c r="AH212" s="4"/>
      <c r="AI212" s="4"/>
      <c r="AJ212" s="4"/>
      <c r="AK212" s="4"/>
      <c r="AL212" s="4"/>
      <c r="AM212" s="4"/>
      <c r="AN212" s="4"/>
      <c r="AO212" s="4"/>
      <c r="AP212" s="4"/>
      <c r="AQ212" s="4"/>
      <c r="AR212" s="4"/>
      <c r="AS212" s="4"/>
    </row>
    <row r="213" spans="1:45" ht="32.25" customHeight="1" x14ac:dyDescent="0.45">
      <c r="A213" s="1" t="s">
        <v>1189</v>
      </c>
      <c r="B213" s="2" t="s">
        <v>1190</v>
      </c>
      <c r="C213" s="2" t="s">
        <v>1191</v>
      </c>
      <c r="D213" s="2" t="s">
        <v>1192</v>
      </c>
      <c r="E213" s="2" t="s">
        <v>124</v>
      </c>
      <c r="F213" s="2" t="s">
        <v>1193</v>
      </c>
      <c r="G213" s="2"/>
      <c r="H213" s="2" t="s">
        <v>51</v>
      </c>
      <c r="I213" s="2" t="s">
        <v>51</v>
      </c>
      <c r="J213" s="2" t="s">
        <v>1033</v>
      </c>
      <c r="K213" s="2" t="s">
        <v>1177</v>
      </c>
      <c r="L213" s="23">
        <v>57.694597999999999</v>
      </c>
      <c r="M213" s="23">
        <v>11.865130000000001</v>
      </c>
      <c r="N213" s="16">
        <v>0</v>
      </c>
      <c r="O213" s="16" t="s">
        <v>176</v>
      </c>
      <c r="P213" s="2" t="s">
        <v>53</v>
      </c>
      <c r="Q213" s="2" t="s">
        <v>53</v>
      </c>
      <c r="R213" s="2">
        <v>2020</v>
      </c>
      <c r="S213" s="2">
        <v>2027</v>
      </c>
      <c r="T213" s="2" t="s">
        <v>54</v>
      </c>
      <c r="U213" s="2" t="s">
        <v>1194</v>
      </c>
      <c r="V213" s="2"/>
      <c r="W213" s="2" t="s">
        <v>1195</v>
      </c>
      <c r="X213" s="4"/>
      <c r="Y213" s="4"/>
      <c r="Z213" s="4"/>
      <c r="AA213" s="4"/>
      <c r="AB213" s="4"/>
      <c r="AC213" s="4"/>
      <c r="AD213" s="4"/>
      <c r="AE213" s="4"/>
      <c r="AF213" s="4"/>
      <c r="AG213" s="4"/>
      <c r="AH213" s="4"/>
      <c r="AI213" s="4"/>
      <c r="AJ213" s="4"/>
      <c r="AK213" s="4"/>
      <c r="AL213" s="4"/>
      <c r="AM213" s="4"/>
      <c r="AN213" s="4"/>
      <c r="AO213" s="4"/>
      <c r="AP213" s="4"/>
      <c r="AQ213" s="4"/>
      <c r="AR213" s="4"/>
      <c r="AS213" s="4"/>
    </row>
    <row r="214" spans="1:45" ht="32.25" customHeight="1" x14ac:dyDescent="0.45">
      <c r="A214" s="5" t="s">
        <v>1196</v>
      </c>
      <c r="B214" s="6" t="s">
        <v>1197</v>
      </c>
      <c r="C214" s="6" t="s">
        <v>1198</v>
      </c>
      <c r="D214" s="6" t="s">
        <v>1199</v>
      </c>
      <c r="E214" s="6" t="s">
        <v>124</v>
      </c>
      <c r="F214" s="6" t="s">
        <v>1200</v>
      </c>
      <c r="G214" s="6"/>
      <c r="H214" s="6" t="s">
        <v>51</v>
      </c>
      <c r="I214" s="6" t="s">
        <v>51</v>
      </c>
      <c r="J214" s="6" t="s">
        <v>1033</v>
      </c>
      <c r="K214" s="6" t="s">
        <v>1177</v>
      </c>
      <c r="L214" s="24">
        <v>58.908932</v>
      </c>
      <c r="M214" s="24">
        <v>17.958126</v>
      </c>
      <c r="N214" s="16">
        <v>0</v>
      </c>
      <c r="O214" s="16" t="s">
        <v>176</v>
      </c>
      <c r="P214" s="6" t="s">
        <v>53</v>
      </c>
      <c r="Q214" s="6" t="s">
        <v>53</v>
      </c>
      <c r="R214" s="6">
        <v>2022</v>
      </c>
      <c r="S214" s="6">
        <v>2030</v>
      </c>
      <c r="T214" s="6" t="s">
        <v>54</v>
      </c>
      <c r="U214" s="6" t="s">
        <v>1201</v>
      </c>
      <c r="V214" s="6"/>
      <c r="W214" s="7" t="s">
        <v>1202</v>
      </c>
      <c r="X214" s="8"/>
      <c r="Y214" s="8"/>
      <c r="Z214" s="8"/>
      <c r="AA214" s="8"/>
      <c r="AB214" s="8"/>
      <c r="AC214" s="8"/>
      <c r="AD214" s="8"/>
      <c r="AE214" s="8"/>
      <c r="AF214" s="8"/>
      <c r="AG214" s="8"/>
      <c r="AH214" s="8"/>
      <c r="AI214" s="8"/>
      <c r="AJ214" s="8"/>
      <c r="AK214" s="8"/>
      <c r="AL214" s="8"/>
      <c r="AM214" s="8"/>
      <c r="AN214" s="8"/>
      <c r="AO214" s="8"/>
      <c r="AP214" s="8"/>
      <c r="AQ214" s="8"/>
      <c r="AR214" s="8"/>
      <c r="AS214" s="8"/>
    </row>
    <row r="215" spans="1:45" ht="32.25" customHeight="1" x14ac:dyDescent="0.45">
      <c r="A215" s="5" t="s">
        <v>1349</v>
      </c>
      <c r="B215" s="6" t="s">
        <v>1350</v>
      </c>
      <c r="C215" s="6" t="s">
        <v>1351</v>
      </c>
      <c r="D215" s="6" t="s">
        <v>1352</v>
      </c>
      <c r="E215" s="6" t="s">
        <v>124</v>
      </c>
      <c r="F215" s="6" t="s">
        <v>1353</v>
      </c>
      <c r="G215" s="6"/>
      <c r="H215" s="6" t="s">
        <v>1243</v>
      </c>
      <c r="I215" s="6" t="s">
        <v>1243</v>
      </c>
      <c r="J215" s="6" t="s">
        <v>1243</v>
      </c>
      <c r="K215" s="6" t="s">
        <v>1243</v>
      </c>
      <c r="L215" s="24">
        <v>58.438952880757498</v>
      </c>
      <c r="M215" s="24">
        <v>15.6530611262029</v>
      </c>
      <c r="N215" s="16">
        <v>250000</v>
      </c>
      <c r="O215" s="16">
        <v>250000</v>
      </c>
      <c r="P215" s="6" t="s">
        <v>53</v>
      </c>
      <c r="Q215" s="6" t="s">
        <v>53</v>
      </c>
      <c r="R215" s="6">
        <v>2024</v>
      </c>
      <c r="S215" s="6"/>
      <c r="T215" s="6" t="s">
        <v>54</v>
      </c>
      <c r="U215" s="6" t="s">
        <v>559</v>
      </c>
      <c r="V215" s="6" t="s">
        <v>560</v>
      </c>
      <c r="W215" s="7" t="s">
        <v>1354</v>
      </c>
      <c r="X215" s="8"/>
      <c r="Y215" s="8"/>
      <c r="Z215" s="8"/>
      <c r="AA215" s="8"/>
      <c r="AB215" s="8"/>
      <c r="AC215" s="8"/>
      <c r="AD215" s="8"/>
      <c r="AE215" s="8"/>
      <c r="AF215" s="8"/>
      <c r="AG215" s="8"/>
      <c r="AH215" s="8"/>
      <c r="AI215" s="8"/>
      <c r="AJ215" s="8"/>
      <c r="AK215" s="8"/>
      <c r="AL215" s="8"/>
      <c r="AM215" s="8"/>
      <c r="AN215" s="8"/>
      <c r="AO215" s="8"/>
      <c r="AP215" s="8"/>
      <c r="AQ215" s="8"/>
      <c r="AR215" s="8"/>
      <c r="AS215" s="8"/>
    </row>
    <row r="216" spans="1:45" ht="21.75" customHeight="1" x14ac:dyDescent="0.45">
      <c r="A216" s="1" t="s">
        <v>1355</v>
      </c>
      <c r="B216" s="2" t="s">
        <v>1356</v>
      </c>
      <c r="C216" s="2" t="s">
        <v>1357</v>
      </c>
      <c r="D216" s="2" t="s">
        <v>1336</v>
      </c>
      <c r="E216" s="2" t="s">
        <v>124</v>
      </c>
      <c r="F216" s="2" t="s">
        <v>1358</v>
      </c>
      <c r="G216" s="2"/>
      <c r="H216" s="2" t="s">
        <v>1243</v>
      </c>
      <c r="I216" s="2" t="s">
        <v>1243</v>
      </c>
      <c r="J216" s="2" t="s">
        <v>1243</v>
      </c>
      <c r="K216" s="2" t="s">
        <v>1243</v>
      </c>
      <c r="L216" s="23">
        <v>59.858559999999997</v>
      </c>
      <c r="M216" s="23">
        <v>17.638919999999999</v>
      </c>
      <c r="N216" s="16">
        <v>200000</v>
      </c>
      <c r="O216" s="16">
        <v>200000</v>
      </c>
      <c r="P216" s="2" t="s">
        <v>53</v>
      </c>
      <c r="Q216" s="2" t="s">
        <v>53</v>
      </c>
      <c r="R216" s="2">
        <v>2019</v>
      </c>
      <c r="S216" s="2"/>
      <c r="T216" s="2" t="s">
        <v>54</v>
      </c>
      <c r="U216" s="2" t="s">
        <v>1359</v>
      </c>
      <c r="V216" s="2"/>
      <c r="W216" s="3" t="s">
        <v>1360</v>
      </c>
      <c r="X216" s="4"/>
      <c r="Y216" s="4"/>
      <c r="Z216" s="4"/>
      <c r="AA216" s="4"/>
      <c r="AB216" s="4"/>
      <c r="AC216" s="4"/>
      <c r="AD216" s="4"/>
      <c r="AE216" s="4"/>
      <c r="AF216" s="4"/>
      <c r="AG216" s="4"/>
      <c r="AH216" s="4"/>
      <c r="AI216" s="4"/>
      <c r="AJ216" s="4"/>
      <c r="AK216" s="4"/>
      <c r="AL216" s="4"/>
      <c r="AM216" s="4"/>
      <c r="AN216" s="4"/>
      <c r="AO216" s="4"/>
      <c r="AP216" s="4"/>
      <c r="AQ216" s="4"/>
      <c r="AR216" s="4"/>
      <c r="AS216" s="4"/>
    </row>
    <row r="217" spans="1:45" ht="15" customHeight="1" x14ac:dyDescent="0.45">
      <c r="A217" s="5" t="s">
        <v>1361</v>
      </c>
      <c r="B217" s="6" t="s">
        <v>1362</v>
      </c>
      <c r="C217" s="6" t="s">
        <v>1363</v>
      </c>
      <c r="D217" s="6" t="s">
        <v>1295</v>
      </c>
      <c r="E217" s="6" t="s">
        <v>124</v>
      </c>
      <c r="F217" s="6" t="s">
        <v>1364</v>
      </c>
      <c r="G217" s="6"/>
      <c r="H217" s="6" t="s">
        <v>1243</v>
      </c>
      <c r="I217" s="6" t="s">
        <v>1243</v>
      </c>
      <c r="J217" s="6" t="s">
        <v>1243</v>
      </c>
      <c r="K217" s="6" t="s">
        <v>1243</v>
      </c>
      <c r="L217" s="24">
        <v>55.631909</v>
      </c>
      <c r="M217" s="24">
        <v>13.044290999999999</v>
      </c>
      <c r="N217" s="16">
        <v>260000</v>
      </c>
      <c r="O217" s="16">
        <v>260000</v>
      </c>
      <c r="P217" s="6" t="s">
        <v>53</v>
      </c>
      <c r="Q217" s="6" t="s">
        <v>53</v>
      </c>
      <c r="R217" s="6">
        <v>2024</v>
      </c>
      <c r="S217" s="6">
        <v>2030</v>
      </c>
      <c r="T217" s="6" t="s">
        <v>54</v>
      </c>
      <c r="U217" s="6"/>
      <c r="V217" s="6"/>
      <c r="W217" s="6"/>
      <c r="X217" s="8"/>
      <c r="Y217" s="8"/>
      <c r="Z217" s="8"/>
      <c r="AA217" s="8"/>
      <c r="AB217" s="8"/>
      <c r="AC217" s="8"/>
      <c r="AD217" s="8"/>
      <c r="AE217" s="8"/>
      <c r="AF217" s="8"/>
      <c r="AG217" s="8"/>
      <c r="AH217" s="8"/>
      <c r="AI217" s="8"/>
      <c r="AJ217" s="8"/>
      <c r="AK217" s="8"/>
      <c r="AL217" s="8"/>
      <c r="AM217" s="8"/>
      <c r="AN217" s="8"/>
      <c r="AO217" s="8"/>
      <c r="AP217" s="8"/>
      <c r="AQ217" s="8"/>
      <c r="AR217" s="8"/>
      <c r="AS217" s="8"/>
    </row>
    <row r="218" spans="1:45" ht="32.25" customHeight="1" x14ac:dyDescent="0.45">
      <c r="A218" s="1" t="s">
        <v>1365</v>
      </c>
      <c r="B218" s="2" t="s">
        <v>1366</v>
      </c>
      <c r="C218" s="2" t="s">
        <v>1367</v>
      </c>
      <c r="D218" s="2" t="s">
        <v>1368</v>
      </c>
      <c r="E218" s="2" t="s">
        <v>124</v>
      </c>
      <c r="F218" s="2" t="s">
        <v>1369</v>
      </c>
      <c r="G218" s="2"/>
      <c r="H218" s="2" t="s">
        <v>1243</v>
      </c>
      <c r="I218" s="2" t="s">
        <v>1243</v>
      </c>
      <c r="J218" s="2" t="s">
        <v>1243</v>
      </c>
      <c r="K218" s="2" t="s">
        <v>1243</v>
      </c>
      <c r="L218" s="23">
        <v>56.069188954022799</v>
      </c>
      <c r="M218" s="23">
        <v>12.767328140399799</v>
      </c>
      <c r="N218" s="16">
        <v>200000</v>
      </c>
      <c r="O218" s="16">
        <v>200000</v>
      </c>
      <c r="P218" s="2" t="s">
        <v>434</v>
      </c>
      <c r="Q218" s="2" t="s">
        <v>434</v>
      </c>
      <c r="R218" s="2">
        <v>2024</v>
      </c>
      <c r="S218" s="2">
        <v>2027</v>
      </c>
      <c r="T218" s="2" t="s">
        <v>54</v>
      </c>
      <c r="U218" s="2" t="s">
        <v>1370</v>
      </c>
      <c r="V218" s="2" t="s">
        <v>56</v>
      </c>
      <c r="W218" s="3" t="s">
        <v>1371</v>
      </c>
      <c r="X218" s="4"/>
      <c r="Y218" s="4"/>
      <c r="Z218" s="4"/>
      <c r="AA218" s="4"/>
      <c r="AB218" s="4"/>
      <c r="AC218" s="4"/>
      <c r="AD218" s="4"/>
      <c r="AE218" s="4"/>
      <c r="AF218" s="4"/>
      <c r="AG218" s="4"/>
      <c r="AH218" s="4"/>
      <c r="AI218" s="4"/>
      <c r="AJ218" s="4"/>
      <c r="AK218" s="4"/>
      <c r="AL218" s="4"/>
      <c r="AM218" s="4"/>
      <c r="AN218" s="4"/>
      <c r="AO218" s="4"/>
      <c r="AP218" s="4"/>
      <c r="AQ218" s="4"/>
      <c r="AR218" s="4"/>
      <c r="AS218" s="4"/>
    </row>
    <row r="219" spans="1:45" ht="74.25" customHeight="1" x14ac:dyDescent="0.45">
      <c r="A219" s="1" t="s">
        <v>979</v>
      </c>
      <c r="B219" s="2" t="s">
        <v>980</v>
      </c>
      <c r="C219" s="2" t="s">
        <v>981</v>
      </c>
      <c r="D219" s="2" t="s">
        <v>982</v>
      </c>
      <c r="E219" s="2" t="s">
        <v>983</v>
      </c>
      <c r="F219" s="2" t="s">
        <v>983</v>
      </c>
      <c r="G219" s="2"/>
      <c r="H219" s="2" t="s">
        <v>844</v>
      </c>
      <c r="I219" s="2" t="s">
        <v>844</v>
      </c>
      <c r="J219" s="2" t="s">
        <v>844</v>
      </c>
      <c r="K219" s="2" t="s">
        <v>844</v>
      </c>
      <c r="L219" s="23">
        <v>48.275544280994801</v>
      </c>
      <c r="M219" s="23">
        <v>18.1809411358728</v>
      </c>
      <c r="N219" s="16">
        <v>350000</v>
      </c>
      <c r="O219" s="16">
        <v>350000</v>
      </c>
      <c r="P219" s="2" t="s">
        <v>65</v>
      </c>
      <c r="Q219" s="2" t="s">
        <v>184</v>
      </c>
      <c r="R219" s="2">
        <v>2024</v>
      </c>
      <c r="S219" s="2"/>
      <c r="T219" s="2" t="s">
        <v>54</v>
      </c>
      <c r="U219" s="2"/>
      <c r="V219" s="2"/>
      <c r="W219" s="3" t="s">
        <v>984</v>
      </c>
      <c r="X219" s="4"/>
      <c r="Y219" s="4"/>
      <c r="Z219" s="4"/>
      <c r="AA219" s="4"/>
      <c r="AB219" s="4"/>
      <c r="AC219" s="4"/>
      <c r="AD219" s="4"/>
      <c r="AE219" s="4"/>
      <c r="AF219" s="4"/>
      <c r="AG219" s="4"/>
      <c r="AH219" s="4"/>
      <c r="AI219" s="4"/>
      <c r="AJ219" s="4"/>
      <c r="AK219" s="4"/>
      <c r="AL219" s="4"/>
      <c r="AM219" s="4"/>
      <c r="AN219" s="4"/>
      <c r="AO219" s="4"/>
      <c r="AP219" s="4"/>
      <c r="AQ219" s="4"/>
      <c r="AR219" s="4"/>
      <c r="AS219" s="4"/>
    </row>
    <row r="220" spans="1:45" ht="32.25" customHeight="1" x14ac:dyDescent="0.45">
      <c r="A220" s="5" t="s">
        <v>1467</v>
      </c>
      <c r="B220" s="6" t="s">
        <v>353</v>
      </c>
      <c r="C220" s="6" t="s">
        <v>354</v>
      </c>
      <c r="D220" s="6" t="s">
        <v>355</v>
      </c>
      <c r="E220" s="6" t="s">
        <v>356</v>
      </c>
      <c r="F220" s="6" t="s">
        <v>357</v>
      </c>
      <c r="G220" s="6"/>
      <c r="H220" s="6" t="s">
        <v>51</v>
      </c>
      <c r="I220" s="6" t="s">
        <v>51</v>
      </c>
      <c r="J220" s="6" t="s">
        <v>157</v>
      </c>
      <c r="K220" s="6" t="s">
        <v>157</v>
      </c>
      <c r="L220" s="24">
        <v>52.838332999999999</v>
      </c>
      <c r="M220" s="24">
        <v>17.988973999999999</v>
      </c>
      <c r="N220" s="16">
        <v>1020000</v>
      </c>
      <c r="O220" s="16">
        <v>1020000</v>
      </c>
      <c r="P220" s="6" t="s">
        <v>75</v>
      </c>
      <c r="Q220" s="6" t="s">
        <v>75</v>
      </c>
      <c r="R220" s="6">
        <v>2022</v>
      </c>
      <c r="S220" s="6"/>
      <c r="T220" s="6" t="s">
        <v>54</v>
      </c>
      <c r="U220" s="6" t="s">
        <v>126</v>
      </c>
      <c r="V220" s="6"/>
      <c r="W220" s="7" t="s">
        <v>185</v>
      </c>
      <c r="X220" s="8"/>
      <c r="Y220" s="8"/>
      <c r="Z220" s="8"/>
      <c r="AA220" s="8"/>
      <c r="AB220" s="8"/>
      <c r="AC220" s="8"/>
      <c r="AD220" s="8"/>
      <c r="AE220" s="8"/>
      <c r="AF220" s="8"/>
      <c r="AG220" s="8"/>
      <c r="AH220" s="8"/>
      <c r="AI220" s="8"/>
      <c r="AJ220" s="8"/>
      <c r="AK220" s="8"/>
      <c r="AL220" s="8"/>
      <c r="AM220" s="8"/>
      <c r="AN220" s="8"/>
      <c r="AO220" s="8"/>
      <c r="AP220" s="8"/>
      <c r="AQ220" s="8"/>
      <c r="AR220" s="8"/>
      <c r="AS220" s="8"/>
    </row>
    <row r="221" spans="1:45" ht="53.25" customHeight="1" x14ac:dyDescent="0.45">
      <c r="A221" s="5" t="s">
        <v>1468</v>
      </c>
      <c r="B221" s="6" t="s">
        <v>796</v>
      </c>
      <c r="C221" s="6" t="s">
        <v>797</v>
      </c>
      <c r="D221" s="6" t="s">
        <v>798</v>
      </c>
      <c r="E221" s="6" t="s">
        <v>356</v>
      </c>
      <c r="F221" s="6" t="s">
        <v>799</v>
      </c>
      <c r="G221" s="6"/>
      <c r="H221" s="6" t="s">
        <v>51</v>
      </c>
      <c r="I221" s="6" t="s">
        <v>51</v>
      </c>
      <c r="J221" s="6" t="s">
        <v>688</v>
      </c>
      <c r="K221" s="6" t="s">
        <v>800</v>
      </c>
      <c r="L221" s="24">
        <v>52.586578885476797</v>
      </c>
      <c r="M221" s="24">
        <v>19.672866870315701</v>
      </c>
      <c r="N221" s="16">
        <v>1000000</v>
      </c>
      <c r="O221" s="16">
        <v>1000000</v>
      </c>
      <c r="P221" s="6" t="s">
        <v>75</v>
      </c>
      <c r="Q221" s="6" t="s">
        <v>75</v>
      </c>
      <c r="R221" s="6">
        <v>2023</v>
      </c>
      <c r="S221" s="6"/>
      <c r="T221" s="6" t="s">
        <v>54</v>
      </c>
      <c r="U221" s="6"/>
      <c r="V221" s="6" t="s">
        <v>801</v>
      </c>
      <c r="W221" s="7" t="s">
        <v>802</v>
      </c>
      <c r="X221" s="8"/>
      <c r="Y221" s="8"/>
      <c r="Z221" s="8"/>
      <c r="AA221" s="8"/>
      <c r="AB221" s="8"/>
      <c r="AC221" s="8"/>
      <c r="AD221" s="8"/>
      <c r="AE221" s="8"/>
      <c r="AF221" s="8"/>
      <c r="AG221" s="8"/>
      <c r="AH221" s="8"/>
      <c r="AI221" s="8"/>
      <c r="AJ221" s="8"/>
      <c r="AK221" s="8"/>
      <c r="AL221" s="8"/>
      <c r="AM221" s="8"/>
      <c r="AN221" s="8"/>
      <c r="AO221" s="8"/>
      <c r="AP221" s="8"/>
      <c r="AQ221" s="8"/>
      <c r="AR221" s="8"/>
      <c r="AS221" s="8"/>
    </row>
    <row r="222" spans="1:45" ht="105.75" customHeight="1" x14ac:dyDescent="0.45">
      <c r="A222" s="5" t="s">
        <v>1469</v>
      </c>
      <c r="B222" s="6" t="s">
        <v>1185</v>
      </c>
      <c r="C222" s="6" t="s">
        <v>504</v>
      </c>
      <c r="D222" s="6" t="s">
        <v>1122</v>
      </c>
      <c r="E222" s="6" t="s">
        <v>356</v>
      </c>
      <c r="F222" s="6" t="s">
        <v>1186</v>
      </c>
      <c r="G222" s="6"/>
      <c r="H222" s="6" t="s">
        <v>51</v>
      </c>
      <c r="I222" s="6" t="s">
        <v>51</v>
      </c>
      <c r="J222" s="6" t="s">
        <v>1033</v>
      </c>
      <c r="K222" s="6" t="s">
        <v>1177</v>
      </c>
      <c r="L222" s="24">
        <v>54.399760000000001</v>
      </c>
      <c r="M222" s="24">
        <v>18.696349999999999</v>
      </c>
      <c r="N222" s="16">
        <v>3000000</v>
      </c>
      <c r="O222" s="16">
        <v>9000000</v>
      </c>
      <c r="P222" s="6" t="s">
        <v>75</v>
      </c>
      <c r="Q222" s="6" t="s">
        <v>75</v>
      </c>
      <c r="R222" s="6">
        <v>2021</v>
      </c>
      <c r="S222" s="6"/>
      <c r="T222" s="6" t="s">
        <v>54</v>
      </c>
      <c r="U222" s="6" t="s">
        <v>1187</v>
      </c>
      <c r="V222" s="6"/>
      <c r="W222" s="7" t="s">
        <v>1188</v>
      </c>
      <c r="X222" s="8"/>
      <c r="Y222" s="8"/>
      <c r="Z222" s="8"/>
      <c r="AA222" s="8"/>
      <c r="AB222" s="8"/>
      <c r="AC222" s="8"/>
      <c r="AD222" s="8"/>
      <c r="AE222" s="8"/>
      <c r="AF222" s="8"/>
      <c r="AG222" s="8"/>
      <c r="AH222" s="8"/>
      <c r="AI222" s="8"/>
      <c r="AJ222" s="8"/>
      <c r="AK222" s="8"/>
      <c r="AL222" s="8"/>
      <c r="AM222" s="8"/>
      <c r="AN222" s="8"/>
      <c r="AO222" s="8"/>
      <c r="AP222" s="8"/>
      <c r="AQ222" s="8"/>
      <c r="AR222" s="8"/>
      <c r="AS222" s="8"/>
    </row>
  </sheetData>
  <autoFilter ref="A1:AS222" xr:uid="{00000000-0009-0000-0000-000000000000}">
    <sortState xmlns:xlrd2="http://schemas.microsoft.com/office/spreadsheetml/2017/richdata2" ref="A2:AS221">
      <sortCondition ref="A1"/>
    </sortState>
  </autoFilter>
  <dataValidations count="10">
    <dataValidation type="list" allowBlank="1" sqref="AJ2:AJ501" xr:uid="{00000000-0002-0000-0000-000000000000}">
      <formula1>"No Contact,Identified Contact,Reached Out,In Dialogue,Established Relationship,Not Relevant"</formula1>
      <formula2>0</formula2>
    </dataValidation>
    <dataValidation type="list" allowBlank="1" sqref="AM2:AM501" xr:uid="{00000000-0002-0000-0000-000001000000}">
      <formula1>"High,Medium,Low,Watch List,Not Relevant"</formula1>
      <formula2>0</formula2>
    </dataValidation>
    <dataValidation type="list" allowBlank="1" sqref="AN2:AN501" xr:uid="{00000000-0002-0000-0000-000002000000}">
      <formula1>"Strategic Partner,Potential Customer,Data Source,Case Study,Technology Benchmark,Competitor,Not Relevant"</formula1>
      <formula2>0</formula2>
    </dataValidation>
    <dataValidation type="list" allowBlank="1" sqref="AH2:AH501" xr:uid="{00000000-0002-0000-0000-000003000000}">
      <formula1>"Innovation Fund,Connecting Europe Facility,Horizon Europe,LIFE,Just Transition Fund,National Scheme,Private,Other"</formula1>
      <formula2>0</formula2>
    </dataValidation>
    <dataValidation type="list" allowBlank="1" showErrorMessage="1" errorTitle="Invalid Status" error="Select a valid status" sqref="T2:T422" xr:uid="{00000000-0002-0000-0000-000004000000}">
      <formula1>"In Development,Planned,Under Construction,Operational,On Hold,Cancelled"</formula1>
      <formula2>0</formula2>
    </dataValidation>
    <dataValidation type="list" allowBlank="1" showErrorMessage="1" errorTitle="Invalid Country" error="Select a valid country" sqref="E2:E422" xr:uid="{00000000-0002-0000-0000-000005000000}">
      <formula1>"Belgium,Bulgaria,Croatia,Czechia,Denmark,Finland,France,Germany,Greece,Hungary,Iceland,Italy,Latvia,Lithuania,Netherlands,Norway,Poland,Romania,Slovakia,Spain,Sweden,Switzerland,UK"</formula1>
      <formula2>0</formula2>
    </dataValidation>
    <dataValidation type="list" allowBlank="1" showErrorMessage="1" errorTitle="Invalid Sector" error="Select a valid sector" sqref="H2:H422" xr:uid="{00000000-0002-0000-0000-000006000000}">
      <formula1>"Industrial,Heat and Power,Storage,Waste-to-Energy,Direct Air Capture"</formula1>
      <formula2>0</formula2>
    </dataValidation>
    <dataValidation type="list" allowBlank="1" sqref="I2:I422" xr:uid="{00000000-0002-0000-0000-000007000000}">
      <formula1>"Industrial,Heat and Power,Storage,Waste-to-Energy,Direct Air Capture"</formula1>
      <formula2>0</formula2>
    </dataValidation>
    <dataValidation type="list" allowBlank="1" showErrorMessage="1" errorTitle="Invalid Subsector" error="Select a valid subsector" sqref="J2:J422" xr:uid="{00000000-0002-0000-0000-000008000000}">
      <formula1>"Cement,Hydrogen,Storage,Transport Hub,Waste-to-Energy,Biomass,Natural Gas,Direct Air Capture,Biofuels,Aluminium,Chemical,Other Subsector"</formula1>
      <formula2>0</formula2>
    </dataValidation>
    <dataValidation type="list" allowBlank="1" showErrorMessage="1" errorTitle="Invalid Storage Type" error="Select a valid storage classification" sqref="P2:P422" xr:uid="{00000000-0002-0000-0000-000009000000}">
      <formula1>"Dedicated Saline Storage,Depleted Oil or Gas Reservoir,Depleted Gas Reservoir and Saline Storage,Basalt,Unknown"</formula1>
      <formula2>0</formula2>
    </dataValidation>
  </dataValidations>
  <hyperlinks>
    <hyperlink ref="W31" r:id="rId1" xr:uid="{D804CC33-DD08-4CFB-87A2-AEF93F7F5616}"/>
    <hyperlink ref="W30" r:id="rId2" xr:uid="{1803C9D3-31FF-4187-BFF3-5ECB8883E60A}"/>
  </hyperlinks>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df1d6aa-b676-46e7-a807-692a1cdef0de" xsi:nil="true"/>
    <lcf76f155ced4ddcb4097134ff3c332f xmlns="97230cb8-8f90-4578-8c17-6fc082be4b37">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1B5697EA6F87F848AB9D9259D6F89E4E" ma:contentTypeVersion="15" ma:contentTypeDescription="Create a new document." ma:contentTypeScope="" ma:versionID="d1a7a372af1e8c5a84ee1ff1b4a7c220">
  <xsd:schema xmlns:xsd="http://www.w3.org/2001/XMLSchema" xmlns:xs="http://www.w3.org/2001/XMLSchema" xmlns:p="http://schemas.microsoft.com/office/2006/metadata/properties" xmlns:ns2="97230cb8-8f90-4578-8c17-6fc082be4b37" xmlns:ns3="3df1d6aa-b676-46e7-a807-692a1cdef0de" targetNamespace="http://schemas.microsoft.com/office/2006/metadata/properties" ma:root="true" ma:fieldsID="51ea9665746011ae206634b181aad3f9" ns2:_="" ns3:_="">
    <xsd:import namespace="97230cb8-8f90-4578-8c17-6fc082be4b37"/>
    <xsd:import namespace="3df1d6aa-b676-46e7-a807-692a1cdef0d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BillingMetadata"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7230cb8-8f90-4578-8c17-6fc082be4b3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83bd82a7-ace5-49ef-ac38-12ece9179fda"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BillingMetadata" ma:index="18" nillable="true" ma:displayName="MediaServiceBillingMetadata" ma:hidden="true" ma:internalName="MediaServiceBillingMetadata" ma:readOnly="true">
      <xsd:simpleType>
        <xsd:restriction base="dms:Note"/>
      </xsd:simpleType>
    </xsd:element>
    <xsd:element name="MediaServiceLocation" ma:index="19"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df1d6aa-b676-46e7-a807-692a1cdef0d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e514ceb-89d0-4038-85fe-3706dcfd5a2e}" ma:internalName="TaxCatchAll" ma:showField="CatchAllData" ma:web="3df1d6aa-b676-46e7-a807-692a1cdef0d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0322315-D66F-4381-99BB-EF1E1B52201C}">
  <ds:schemaRefs>
    <ds:schemaRef ds:uri="http://schemas.microsoft.com/office/infopath/2007/PartnerControls"/>
    <ds:schemaRef ds:uri="http://schemas.microsoft.com/office/2006/metadata/properties"/>
    <ds:schemaRef ds:uri="http://purl.org/dc/dcmitype/"/>
    <ds:schemaRef ds:uri="http://www.w3.org/XML/1998/namespace"/>
    <ds:schemaRef ds:uri="http://schemas.microsoft.com/office/2006/documentManagement/types"/>
    <ds:schemaRef ds:uri="http://purl.org/dc/elements/1.1/"/>
    <ds:schemaRef ds:uri="http://schemas.openxmlformats.org/package/2006/metadata/core-properties"/>
    <ds:schemaRef ds:uri="http://purl.org/dc/terms/"/>
    <ds:schemaRef ds:uri="97230cb8-8f90-4578-8c17-6fc082be4b37"/>
    <ds:schemaRef ds:uri="3df1d6aa-b676-46e7-a807-692a1cdef0de"/>
  </ds:schemaRefs>
</ds:datastoreItem>
</file>

<file path=customXml/itemProps2.xml><?xml version="1.0" encoding="utf-8"?>
<ds:datastoreItem xmlns:ds="http://schemas.openxmlformats.org/officeDocument/2006/customXml" ds:itemID="{B9DF9DC9-B4EB-4F9D-AA85-7B1F797FF6D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7230cb8-8f90-4578-8c17-6fc082be4b37"/>
    <ds:schemaRef ds:uri="3df1d6aa-b676-46e7-a807-692a1cdef0d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5762F9C-E417-43FB-895C-5DA3A4834D0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CCS Projects Europe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Sebastian Hanss-Mirodone</cp:lastModifiedBy>
  <cp:revision>0</cp:revision>
  <dcterms:created xsi:type="dcterms:W3CDTF">2026-03-03T12:29:16Z</dcterms:created>
  <dcterms:modified xsi:type="dcterms:W3CDTF">2026-03-12T14:41:40Z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0x0101001B5697EA6F87F848AB9D9259D6F89E4E</vt:lpwstr>
  </property>
  <property fmtid="{D5CDD505-2E9C-101B-9397-08002B2CF9AE}" pid="3" name="MediaServiceImageTags">
    <vt:lpwstr/>
  </property>
</Properties>
</file>